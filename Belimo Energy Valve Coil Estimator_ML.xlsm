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trlProps/ctrlProp1.xml" ContentType="application/vnd.ms-excel.controlproperti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Savings Estimator\"/>
    </mc:Choice>
  </mc:AlternateContent>
  <xr:revisionPtr revIDLastSave="0" documentId="13_ncr:1_{C841AD3D-35C1-43C6-82EC-9C8010686EBC}" xr6:coauthVersionLast="47" xr6:coauthVersionMax="47" xr10:uidLastSave="{00000000-0000-0000-0000-000000000000}"/>
  <bookViews>
    <workbookView xWindow="-23148" yWindow="-108" windowWidth="23256" windowHeight="12576" xr2:uid="{75BD0CFC-176E-4535-B9E9-7937B92F925F}"/>
  </bookViews>
  <sheets>
    <sheet name="Home" sheetId="1" r:id="rId1"/>
    <sheet name="Pump Savings" sheetId="2" r:id="rId2"/>
    <sheet name="Model_Pump Savings" sheetId="9" state="veryHidden" r:id="rId3"/>
    <sheet name="Flow Curves" sheetId="5" r:id="rId4"/>
    <sheet name="Charts" sheetId="3" r:id="rId5"/>
    <sheet name="Results" sheetId="8" r:id="rId6"/>
    <sheet name="InfoText" sheetId="4" state="veryHidden" r:id="rId7"/>
    <sheet name="Localization" sheetId="6" state="veryHidden" r:id="rId8"/>
    <sheet name="Model_Home" sheetId="7" state="veryHidden" r:id="rId9"/>
  </sheets>
  <functionGroups builtInGroupCount="19"/>
  <definedNames>
    <definedName name="DT_GAP">Model_Home!$H$3</definedName>
    <definedName name="DT_MAX_BOUND">Model_Home!$H$2</definedName>
    <definedName name="DT_MIN_BOUND">Model_Home!$H$1</definedName>
    <definedName name="SelectedLanguage">Home!$F$5</definedName>
    <definedName name="SelectedUnitSystem">Home!$F$6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3" i="9" l="1"/>
  <c r="O5" i="9"/>
  <c r="F8" i="9"/>
  <c r="I10" i="2"/>
  <c r="D76" i="8"/>
  <c r="E70" i="8"/>
  <c r="D63" i="8"/>
  <c r="H3" i="7"/>
  <c r="H2" i="7"/>
  <c r="H1" i="7"/>
  <c r="G54" i="2"/>
  <c r="M62" i="2"/>
  <c r="Q65" i="2"/>
  <c r="Q49" i="2"/>
  <c r="E43" i="8"/>
  <c r="Q32" i="2"/>
  <c r="L29" i="2"/>
  <c r="N30" i="2"/>
  <c r="M54" i="2"/>
  <c r="Q25" i="2"/>
  <c r="F37" i="2"/>
  <c r="B61" i="8"/>
  <c r="E78" i="8"/>
  <c r="F30" i="2"/>
  <c r="F21" i="2"/>
  <c r="J54" i="2"/>
  <c r="F61" i="2"/>
  <c r="N4" i="2"/>
  <c r="B72" i="8"/>
  <c r="H54" i="2"/>
  <c r="E69" i="8"/>
  <c r="B27" i="8"/>
  <c r="E22" i="2"/>
  <c r="B33" i="8"/>
  <c r="J62" i="2"/>
  <c r="Q48" i="2"/>
  <c r="H62" i="2"/>
  <c r="H12" i="2"/>
  <c r="B66" i="8"/>
  <c r="G64" i="1"/>
  <c r="M46" i="2"/>
  <c r="E61" i="8"/>
  <c r="I30" i="2"/>
  <c r="B16" i="8"/>
  <c r="M22" i="2"/>
  <c r="F62" i="2"/>
  <c r="M14" i="2"/>
  <c r="Q33" i="2"/>
  <c r="B9" i="2"/>
  <c r="I46" i="2"/>
  <c r="L61" i="2"/>
  <c r="J12" i="2"/>
  <c r="B60" i="8"/>
  <c r="D13" i="8"/>
  <c r="G38" i="2"/>
  <c r="F45" i="2"/>
  <c r="N46" i="2"/>
  <c r="L45" i="2"/>
  <c r="F8" i="2"/>
  <c r="B81" i="8"/>
  <c r="C19" i="8"/>
  <c r="D62" i="8"/>
  <c r="M38" i="2"/>
  <c r="E68" i="8"/>
  <c r="H38" i="2"/>
  <c r="D61" i="8"/>
  <c r="B29" i="2"/>
  <c r="I22" i="2"/>
  <c r="F53" i="2"/>
  <c r="E62" i="2"/>
  <c r="Q41" i="2"/>
  <c r="O5" i="2"/>
  <c r="G30" i="2"/>
  <c r="B64" i="1"/>
  <c r="B64" i="8"/>
  <c r="B75" i="8"/>
  <c r="E26" i="1"/>
  <c r="F54" i="2"/>
  <c r="F38" i="2"/>
  <c r="B61" i="2"/>
  <c r="B79" i="8"/>
  <c r="B78" i="8"/>
  <c r="J46" i="2"/>
  <c r="E67" i="8"/>
  <c r="B63" i="8"/>
  <c r="I54" i="2"/>
  <c r="G12" i="2"/>
  <c r="E77" i="8"/>
  <c r="E54" i="2"/>
  <c r="P4" i="2"/>
  <c r="G12" i="1"/>
  <c r="D19" i="8"/>
  <c r="Q40" i="2"/>
  <c r="H30" i="2"/>
  <c r="E29" i="1"/>
  <c r="E64" i="8"/>
  <c r="B70" i="8"/>
  <c r="M30" i="2"/>
  <c r="E79" i="8"/>
  <c r="H46" i="2"/>
  <c r="J22" i="2"/>
  <c r="G13" i="1"/>
  <c r="E28" i="1"/>
  <c r="F13" i="2"/>
  <c r="B13" i="8"/>
  <c r="L21" i="2"/>
  <c r="N22" i="2"/>
  <c r="E62" i="8"/>
  <c r="B62" i="8"/>
  <c r="B45" i="2"/>
  <c r="E30" i="2"/>
  <c r="E12" i="2"/>
  <c r="N62" i="2"/>
  <c r="B19" i="2"/>
  <c r="F19" i="8"/>
  <c r="E38" i="2"/>
  <c r="B21" i="2"/>
  <c r="F29" i="2"/>
  <c r="B73" i="8"/>
  <c r="D12" i="8"/>
  <c r="G14" i="1"/>
  <c r="N54" i="2"/>
  <c r="B76" i="8"/>
  <c r="J30" i="2"/>
  <c r="E76" i="8"/>
  <c r="B77" i="8"/>
  <c r="E71" i="8"/>
  <c r="J38" i="2"/>
  <c r="F7" i="2"/>
  <c r="B71" i="8"/>
  <c r="Q24" i="2"/>
  <c r="B53" i="2"/>
  <c r="I12" i="2"/>
  <c r="Q56" i="2"/>
  <c r="O4" i="2"/>
  <c r="Q64" i="2"/>
  <c r="C13" i="8"/>
  <c r="L37" i="2"/>
  <c r="B69" i="8"/>
  <c r="G46" i="2"/>
  <c r="H5" i="2"/>
  <c r="G15" i="1"/>
  <c r="M15" i="2"/>
  <c r="B19" i="8"/>
  <c r="B37" i="2"/>
  <c r="F12" i="2"/>
  <c r="I62" i="2"/>
  <c r="G19" i="8"/>
  <c r="F22" i="2"/>
  <c r="G62" i="2"/>
  <c r="C33" i="8"/>
  <c r="B10" i="2"/>
  <c r="G22" i="2"/>
  <c r="B14" i="8"/>
  <c r="E46" i="2"/>
  <c r="N38" i="2"/>
  <c r="F46" i="2"/>
  <c r="L53" i="2"/>
  <c r="Q57" i="2"/>
  <c r="B68" i="8"/>
  <c r="I38" i="2"/>
  <c r="H22" i="2"/>
  <c r="F6" i="2"/>
  <c r="E72" i="8"/>
  <c r="E27" i="1"/>
  <c r="B67" i="8"/>
  <c r="J10" i="2"/>
  <c r="B22" i="8" l="1"/>
  <c r="B25" i="8"/>
  <c r="B23" i="8"/>
  <c r="B24" i="8"/>
  <c r="B21" i="8"/>
  <c r="B20" i="8"/>
  <c r="F10" i="9"/>
  <c r="E13" i="9"/>
  <c r="F9" i="9"/>
  <c r="J6" i="7"/>
  <c r="J5" i="7"/>
  <c r="J4" i="7"/>
  <c r="J3" i="7"/>
  <c r="J2" i="7"/>
  <c r="J1" i="7"/>
  <c r="I8" i="5"/>
  <c r="H8" i="5"/>
  <c r="G8" i="5"/>
  <c r="D28" i="1"/>
  <c r="D27" i="1"/>
  <c r="D26" i="1"/>
  <c r="E37" i="1"/>
  <c r="B15" i="8"/>
  <c r="E44" i="8"/>
  <c r="S11" i="5"/>
  <c r="B55" i="8"/>
  <c r="E45" i="8"/>
  <c r="B54" i="8"/>
  <c r="B30" i="8"/>
  <c r="F10" i="2"/>
  <c r="C32" i="8"/>
  <c r="B44" i="8"/>
  <c r="B53" i="8"/>
  <c r="E19" i="8"/>
  <c r="F9" i="2"/>
  <c r="B43" i="8"/>
  <c r="B32" i="8"/>
  <c r="C12" i="8"/>
  <c r="B45" i="8"/>
  <c r="E13" i="2"/>
  <c r="G13" i="9" l="1"/>
  <c r="N5" i="9"/>
  <c r="E48" i="9" s="1"/>
  <c r="H13" i="9"/>
  <c r="E63" i="9"/>
  <c r="E47" i="9"/>
  <c r="E31" i="9"/>
  <c r="E23" i="9"/>
  <c r="E39" i="9"/>
  <c r="E55" i="9"/>
  <c r="G17" i="5"/>
  <c r="H16" i="5"/>
  <c r="G16" i="5"/>
  <c r="H15" i="5"/>
  <c r="G15" i="5"/>
  <c r="H14" i="5"/>
  <c r="P14" i="5" s="1"/>
  <c r="G14" i="5"/>
  <c r="H13" i="5"/>
  <c r="P13" i="5" s="1"/>
  <c r="G13" i="5"/>
  <c r="H12" i="5"/>
  <c r="G12" i="5"/>
  <c r="H11" i="5"/>
  <c r="G11" i="5"/>
  <c r="H10" i="5"/>
  <c r="P10" i="5" s="1"/>
  <c r="G10" i="5"/>
  <c r="G108" i="5"/>
  <c r="H6" i="5"/>
  <c r="O54" i="2"/>
  <c r="F9" i="5"/>
  <c r="O29" i="2"/>
  <c r="D46" i="2"/>
  <c r="B11" i="1"/>
  <c r="B67" i="1"/>
  <c r="M16" i="2"/>
  <c r="E31" i="2"/>
  <c r="G41" i="1"/>
  <c r="C9" i="5"/>
  <c r="O21" i="2"/>
  <c r="O9" i="5"/>
  <c r="Q42" i="2"/>
  <c r="B62" i="2"/>
  <c r="G5" i="2"/>
  <c r="N5" i="2"/>
  <c r="P6" i="5"/>
  <c r="B44" i="1"/>
  <c r="N53" i="2"/>
  <c r="B53" i="1"/>
  <c r="F41" i="1"/>
  <c r="L9" i="5"/>
  <c r="J5" i="2"/>
  <c r="G18" i="1"/>
  <c r="B51" i="1"/>
  <c r="D22" i="2"/>
  <c r="L19" i="2"/>
  <c r="C33" i="1"/>
  <c r="E47" i="2"/>
  <c r="Q34" i="2"/>
  <c r="G19" i="1"/>
  <c r="E48" i="2"/>
  <c r="B6" i="2"/>
  <c r="B12" i="2"/>
  <c r="B18" i="1"/>
  <c r="C35" i="1"/>
  <c r="L54" i="2"/>
  <c r="R38" i="2"/>
  <c r="B46" i="1"/>
  <c r="R62" i="2"/>
  <c r="Q66" i="2"/>
  <c r="B5" i="1"/>
  <c r="F6" i="5"/>
  <c r="G10" i="2"/>
  <c r="G27" i="1"/>
  <c r="N12" i="2"/>
  <c r="S16" i="5"/>
  <c r="Q55" i="2"/>
  <c r="D6" i="5"/>
  <c r="G65" i="1"/>
  <c r="Q23" i="2"/>
  <c r="E39" i="2"/>
  <c r="L6" i="5"/>
  <c r="G20" i="1"/>
  <c r="H13" i="2"/>
  <c r="R21" i="2"/>
  <c r="M61" i="2"/>
  <c r="O45" i="2"/>
  <c r="F9" i="1"/>
  <c r="C46" i="2"/>
  <c r="G11" i="1"/>
  <c r="B66" i="1"/>
  <c r="L62" i="2"/>
  <c r="S6" i="5"/>
  <c r="C30" i="2"/>
  <c r="Q58" i="2"/>
  <c r="M13" i="2"/>
  <c r="F32" i="1"/>
  <c r="C36" i="1"/>
  <c r="S10" i="5"/>
  <c r="O37" i="2"/>
  <c r="P7" i="5"/>
  <c r="B6" i="1"/>
  <c r="C54" i="2"/>
  <c r="H7" i="5"/>
  <c r="B54" i="2"/>
  <c r="M6" i="5"/>
  <c r="C34" i="1"/>
  <c r="Q39" i="2"/>
  <c r="B49" i="1"/>
  <c r="D12" i="2"/>
  <c r="B68" i="1"/>
  <c r="B43" i="1"/>
  <c r="Q47" i="2"/>
  <c r="R46" i="2"/>
  <c r="B38" i="2"/>
  <c r="B42" i="1"/>
  <c r="L46" i="2"/>
  <c r="Q31" i="2"/>
  <c r="B12" i="1"/>
  <c r="G13" i="2"/>
  <c r="B16" i="1"/>
  <c r="N45" i="2"/>
  <c r="B15" i="1"/>
  <c r="D62" i="2"/>
  <c r="G6" i="5"/>
  <c r="B20" i="1"/>
  <c r="J9" i="5"/>
  <c r="C62" i="2"/>
  <c r="G9" i="1"/>
  <c r="B4" i="5"/>
  <c r="P9" i="5"/>
  <c r="C12" i="2"/>
  <c r="O61" i="2"/>
  <c r="M21" i="2"/>
  <c r="M9" i="5"/>
  <c r="Q9" i="5"/>
  <c r="R4" i="2"/>
  <c r="B52" i="1"/>
  <c r="Q6" i="5"/>
  <c r="O46" i="2"/>
  <c r="F65" i="1"/>
  <c r="B28" i="1"/>
  <c r="O22" i="2"/>
  <c r="G9" i="5"/>
  <c r="Q26" i="2"/>
  <c r="E23" i="2"/>
  <c r="G7" i="5"/>
  <c r="V16" i="5"/>
  <c r="D38" i="2"/>
  <c r="H9" i="5"/>
  <c r="B45" i="1"/>
  <c r="Q50" i="2"/>
  <c r="B7" i="2"/>
  <c r="D32" i="1"/>
  <c r="B14" i="1"/>
  <c r="C22" i="2"/>
  <c r="B17" i="1"/>
  <c r="B48" i="1"/>
  <c r="B10" i="1"/>
  <c r="B9" i="5"/>
  <c r="E6" i="5"/>
  <c r="D9" i="5"/>
  <c r="L4" i="5"/>
  <c r="G16" i="1"/>
  <c r="B62" i="1"/>
  <c r="E5" i="5"/>
  <c r="E9" i="5"/>
  <c r="D30" i="2"/>
  <c r="B26" i="1"/>
  <c r="M45" i="2"/>
  <c r="O62" i="2"/>
  <c r="L38" i="2"/>
  <c r="L12" i="2"/>
  <c r="M29" i="2"/>
  <c r="B5" i="2"/>
  <c r="E41" i="1"/>
  <c r="O53" i="2"/>
  <c r="B54" i="1"/>
  <c r="B32" i="1"/>
  <c r="B5" i="5"/>
  <c r="M53" i="2"/>
  <c r="B29" i="1"/>
  <c r="B63" i="1"/>
  <c r="O38" i="2"/>
  <c r="B8" i="2"/>
  <c r="E32" i="1"/>
  <c r="Q63" i="2"/>
  <c r="B19" i="1"/>
  <c r="N29" i="2"/>
  <c r="E55" i="2"/>
  <c r="B46" i="2"/>
  <c r="J6" i="5"/>
  <c r="R22" i="2"/>
  <c r="L30" i="2"/>
  <c r="E65" i="1"/>
  <c r="B30" i="1"/>
  <c r="B22" i="2"/>
  <c r="N61" i="2"/>
  <c r="G26" i="1"/>
  <c r="E63" i="2"/>
  <c r="N21" i="2"/>
  <c r="M37" i="2"/>
  <c r="B13" i="1"/>
  <c r="B50" i="1"/>
  <c r="R54" i="2"/>
  <c r="D54" i="2"/>
  <c r="C38" i="2"/>
  <c r="F56" i="1"/>
  <c r="B30" i="2"/>
  <c r="I6" i="5"/>
  <c r="C32" i="1"/>
  <c r="J6" i="2"/>
  <c r="B27" i="1"/>
  <c r="N37" i="2"/>
  <c r="O30" i="2"/>
  <c r="L22" i="2"/>
  <c r="U16" i="5"/>
  <c r="M7" i="5"/>
  <c r="S13" i="5"/>
  <c r="B47" i="1"/>
  <c r="C6" i="5"/>
  <c r="H65" i="1"/>
  <c r="E34" i="9" l="1"/>
  <c r="E57" i="9"/>
  <c r="E65" i="9"/>
  <c r="E16" i="9"/>
  <c r="P5" i="9"/>
  <c r="E40" i="9"/>
  <c r="E58" i="9"/>
  <c r="E50" i="9"/>
  <c r="E66" i="9"/>
  <c r="E14" i="9"/>
  <c r="E41" i="9"/>
  <c r="E24" i="9"/>
  <c r="E33" i="9"/>
  <c r="E25" i="9"/>
  <c r="E26" i="9"/>
  <c r="E42" i="9"/>
  <c r="E64" i="9"/>
  <c r="E49" i="9"/>
  <c r="E32" i="9"/>
  <c r="E56" i="9"/>
  <c r="E15" i="9"/>
  <c r="F55" i="9"/>
  <c r="M55" i="9"/>
  <c r="H55" i="9"/>
  <c r="M39" i="9"/>
  <c r="H39" i="9"/>
  <c r="F39" i="9"/>
  <c r="H31" i="9"/>
  <c r="M31" i="9"/>
  <c r="F31" i="9"/>
  <c r="F48" i="9"/>
  <c r="H48" i="9"/>
  <c r="F47" i="9"/>
  <c r="H47" i="9"/>
  <c r="M47" i="9"/>
  <c r="M23" i="9"/>
  <c r="F23" i="9"/>
  <c r="H23" i="9"/>
  <c r="F63" i="9"/>
  <c r="H63" i="9"/>
  <c r="M63" i="9"/>
  <c r="F52" i="8"/>
  <c r="C52" i="8"/>
  <c r="E52" i="8"/>
  <c r="D52" i="8"/>
  <c r="H108" i="5"/>
  <c r="Q108" i="5" s="1"/>
  <c r="J12" i="5"/>
  <c r="Q16" i="5"/>
  <c r="Q11" i="5"/>
  <c r="Q15" i="5"/>
  <c r="Q12" i="5"/>
  <c r="M11" i="5"/>
  <c r="P15" i="5"/>
  <c r="G19" i="5"/>
  <c r="G27" i="5"/>
  <c r="G35" i="5"/>
  <c r="G43" i="5"/>
  <c r="G51" i="5"/>
  <c r="G59" i="5"/>
  <c r="G79" i="5"/>
  <c r="M15" i="5"/>
  <c r="H20" i="5"/>
  <c r="P20" i="5" s="1"/>
  <c r="H28" i="5"/>
  <c r="P28" i="5" s="1"/>
  <c r="H36" i="5"/>
  <c r="P36" i="5" s="1"/>
  <c r="H44" i="5"/>
  <c r="M44" i="5" s="1"/>
  <c r="H52" i="5"/>
  <c r="P52" i="5" s="1"/>
  <c r="H60" i="5"/>
  <c r="M60" i="5" s="1"/>
  <c r="G83" i="5"/>
  <c r="G87" i="5"/>
  <c r="M13" i="5"/>
  <c r="H22" i="5"/>
  <c r="P22" i="5" s="1"/>
  <c r="H30" i="5"/>
  <c r="P30" i="5" s="1"/>
  <c r="H38" i="5"/>
  <c r="P38" i="5" s="1"/>
  <c r="H46" i="5"/>
  <c r="P46" i="5" s="1"/>
  <c r="H54" i="5"/>
  <c r="Q54" i="5" s="1"/>
  <c r="H62" i="5"/>
  <c r="Q62" i="5" s="1"/>
  <c r="G91" i="5"/>
  <c r="G23" i="5"/>
  <c r="G31" i="5"/>
  <c r="G39" i="5"/>
  <c r="G47" i="5"/>
  <c r="G55" i="5"/>
  <c r="G63" i="5"/>
  <c r="G95" i="5"/>
  <c r="P11" i="5"/>
  <c r="J16" i="5"/>
  <c r="H24" i="5"/>
  <c r="M24" i="5" s="1"/>
  <c r="H32" i="5"/>
  <c r="P32" i="5" s="1"/>
  <c r="H40" i="5"/>
  <c r="M40" i="5" s="1"/>
  <c r="H48" i="5"/>
  <c r="M48" i="5" s="1"/>
  <c r="H56" i="5"/>
  <c r="P56" i="5" s="1"/>
  <c r="G67" i="5"/>
  <c r="G99" i="5"/>
  <c r="G71" i="5"/>
  <c r="G103" i="5"/>
  <c r="M8" i="5"/>
  <c r="H18" i="5"/>
  <c r="P18" i="5" s="1"/>
  <c r="H26" i="5"/>
  <c r="P26" i="5" s="1"/>
  <c r="H34" i="5"/>
  <c r="P34" i="5" s="1"/>
  <c r="H42" i="5"/>
  <c r="P42" i="5" s="1"/>
  <c r="H50" i="5"/>
  <c r="Q50" i="5" s="1"/>
  <c r="H58" i="5"/>
  <c r="Q58" i="5" s="1"/>
  <c r="G75" i="5"/>
  <c r="G107" i="5"/>
  <c r="P8" i="5"/>
  <c r="M12" i="5"/>
  <c r="Q13" i="5"/>
  <c r="M16" i="5"/>
  <c r="H19" i="5"/>
  <c r="H23" i="5"/>
  <c r="H27" i="5"/>
  <c r="H31" i="5"/>
  <c r="H35" i="5"/>
  <c r="H39" i="5"/>
  <c r="H43" i="5"/>
  <c r="H47" i="5"/>
  <c r="H51" i="5"/>
  <c r="H55" i="5"/>
  <c r="H59" i="5"/>
  <c r="H63" i="5"/>
  <c r="H67" i="5"/>
  <c r="H71" i="5"/>
  <c r="H75" i="5"/>
  <c r="H79" i="5"/>
  <c r="H83" i="5"/>
  <c r="H87" i="5"/>
  <c r="H91" i="5"/>
  <c r="H95" i="5"/>
  <c r="H99" i="5"/>
  <c r="H103" i="5"/>
  <c r="H107" i="5"/>
  <c r="J11" i="5"/>
  <c r="P12" i="5"/>
  <c r="J15" i="5"/>
  <c r="P16" i="5"/>
  <c r="G18" i="5"/>
  <c r="G22" i="5"/>
  <c r="G26" i="5"/>
  <c r="G30" i="5"/>
  <c r="G34" i="5"/>
  <c r="G38" i="5"/>
  <c r="G42" i="5"/>
  <c r="G46" i="5"/>
  <c r="G50" i="5"/>
  <c r="G54" i="5"/>
  <c r="G58" i="5"/>
  <c r="G62" i="5"/>
  <c r="G66" i="5"/>
  <c r="G70" i="5"/>
  <c r="G74" i="5"/>
  <c r="G78" i="5"/>
  <c r="G82" i="5"/>
  <c r="G86" i="5"/>
  <c r="G90" i="5"/>
  <c r="G94" i="5"/>
  <c r="G98" i="5"/>
  <c r="G102" i="5"/>
  <c r="G106" i="5"/>
  <c r="G110" i="5"/>
  <c r="H66" i="5"/>
  <c r="H70" i="5"/>
  <c r="H74" i="5"/>
  <c r="H78" i="5"/>
  <c r="H82" i="5"/>
  <c r="H86" i="5"/>
  <c r="H90" i="5"/>
  <c r="H94" i="5"/>
  <c r="H98" i="5"/>
  <c r="H102" i="5"/>
  <c r="H106" i="5"/>
  <c r="H110" i="5"/>
  <c r="J10" i="5"/>
  <c r="J14" i="5"/>
  <c r="G21" i="5"/>
  <c r="G25" i="5"/>
  <c r="G29" i="5"/>
  <c r="G33" i="5"/>
  <c r="G37" i="5"/>
  <c r="G41" i="5"/>
  <c r="G45" i="5"/>
  <c r="G49" i="5"/>
  <c r="G53" i="5"/>
  <c r="G57" i="5"/>
  <c r="G61" i="5"/>
  <c r="G65" i="5"/>
  <c r="G69" i="5"/>
  <c r="G73" i="5"/>
  <c r="G77" i="5"/>
  <c r="G81" i="5"/>
  <c r="G85" i="5"/>
  <c r="G89" i="5"/>
  <c r="G93" i="5"/>
  <c r="G97" i="5"/>
  <c r="G101" i="5"/>
  <c r="G105" i="5"/>
  <c r="G109" i="5"/>
  <c r="M10" i="5"/>
  <c r="M14" i="5"/>
  <c r="H17" i="5"/>
  <c r="H21" i="5"/>
  <c r="H25" i="5"/>
  <c r="H29" i="5"/>
  <c r="H33" i="5"/>
  <c r="H37" i="5"/>
  <c r="H41" i="5"/>
  <c r="H45" i="5"/>
  <c r="H49" i="5"/>
  <c r="H53" i="5"/>
  <c r="H57" i="5"/>
  <c r="H61" i="5"/>
  <c r="H65" i="5"/>
  <c r="H69" i="5"/>
  <c r="H73" i="5"/>
  <c r="H77" i="5"/>
  <c r="H81" i="5"/>
  <c r="H85" i="5"/>
  <c r="H89" i="5"/>
  <c r="H93" i="5"/>
  <c r="H97" i="5"/>
  <c r="H101" i="5"/>
  <c r="H105" i="5"/>
  <c r="H109" i="5"/>
  <c r="J13" i="5"/>
  <c r="G20" i="5"/>
  <c r="G24" i="5"/>
  <c r="G28" i="5"/>
  <c r="G32" i="5"/>
  <c r="G36" i="5"/>
  <c r="G40" i="5"/>
  <c r="G44" i="5"/>
  <c r="G48" i="5"/>
  <c r="G52" i="5"/>
  <c r="G56" i="5"/>
  <c r="G60" i="5"/>
  <c r="G64" i="5"/>
  <c r="G68" i="5"/>
  <c r="G72" i="5"/>
  <c r="G76" i="5"/>
  <c r="G80" i="5"/>
  <c r="G84" i="5"/>
  <c r="G88" i="5"/>
  <c r="G92" i="5"/>
  <c r="G96" i="5"/>
  <c r="G100" i="5"/>
  <c r="G104" i="5"/>
  <c r="Q10" i="5"/>
  <c r="Q14" i="5"/>
  <c r="H64" i="5"/>
  <c r="H68" i="5"/>
  <c r="H72" i="5"/>
  <c r="H76" i="5"/>
  <c r="H80" i="5"/>
  <c r="H84" i="5"/>
  <c r="H88" i="5"/>
  <c r="H92" i="5"/>
  <c r="H96" i="5"/>
  <c r="H100" i="5"/>
  <c r="H104" i="5"/>
  <c r="F23" i="2"/>
  <c r="F47" i="2"/>
  <c r="E56" i="2"/>
  <c r="M63" i="2"/>
  <c r="F48" i="2"/>
  <c r="E64" i="2"/>
  <c r="E57" i="2"/>
  <c r="M55" i="2"/>
  <c r="M23" i="2"/>
  <c r="H31" i="2"/>
  <c r="H48" i="2"/>
  <c r="E24" i="2"/>
  <c r="E50" i="2"/>
  <c r="E41" i="2"/>
  <c r="H39" i="2"/>
  <c r="M31" i="2"/>
  <c r="P5" i="2"/>
  <c r="M47" i="2"/>
  <c r="F39" i="2"/>
  <c r="E16" i="2"/>
  <c r="E14" i="2"/>
  <c r="E34" i="2"/>
  <c r="H55" i="2"/>
  <c r="F55" i="2"/>
  <c r="M39" i="2"/>
  <c r="F31" i="2"/>
  <c r="E58" i="2"/>
  <c r="E65" i="2"/>
  <c r="H23" i="2"/>
  <c r="E25" i="2"/>
  <c r="H47" i="2"/>
  <c r="E33" i="2"/>
  <c r="H63" i="2"/>
  <c r="S12" i="5"/>
  <c r="E66" i="2"/>
  <c r="E32" i="2"/>
  <c r="E42" i="2"/>
  <c r="F63" i="2"/>
  <c r="E40" i="2"/>
  <c r="E15" i="2"/>
  <c r="E49" i="2"/>
  <c r="E26" i="2"/>
  <c r="F24" i="9" l="1"/>
  <c r="G24" i="9" s="1"/>
  <c r="F41" i="9"/>
  <c r="G41" i="9" s="1"/>
  <c r="F14" i="9"/>
  <c r="F66" i="9"/>
  <c r="G66" i="9" s="1"/>
  <c r="H56" i="9"/>
  <c r="F50" i="9"/>
  <c r="G50" i="9" s="1"/>
  <c r="G48" i="9"/>
  <c r="H32" i="9"/>
  <c r="H58" i="9"/>
  <c r="G31" i="9"/>
  <c r="H49" i="9"/>
  <c r="F40" i="9"/>
  <c r="G40" i="9" s="1"/>
  <c r="H64" i="9"/>
  <c r="H16" i="9"/>
  <c r="F26" i="9"/>
  <c r="F65" i="9"/>
  <c r="G65" i="9" s="1"/>
  <c r="H25" i="9"/>
  <c r="H57" i="9"/>
  <c r="H33" i="9"/>
  <c r="F34" i="9"/>
  <c r="M42" i="9"/>
  <c r="H34" i="9"/>
  <c r="H40" i="9"/>
  <c r="F58" i="9"/>
  <c r="M58" i="9"/>
  <c r="M57" i="9"/>
  <c r="H14" i="9"/>
  <c r="M48" i="9"/>
  <c r="M34" i="9"/>
  <c r="F16" i="9"/>
  <c r="F57" i="9"/>
  <c r="H65" i="9"/>
  <c r="R5" i="2"/>
  <c r="H50" i="9"/>
  <c r="M50" i="9"/>
  <c r="H66" i="9"/>
  <c r="M66" i="9"/>
  <c r="M24" i="9"/>
  <c r="M40" i="9"/>
  <c r="F33" i="9"/>
  <c r="H41" i="9"/>
  <c r="H24" i="9"/>
  <c r="M26" i="9"/>
  <c r="H26" i="9"/>
  <c r="F25" i="9"/>
  <c r="F42" i="9"/>
  <c r="H42" i="9"/>
  <c r="F32" i="9"/>
  <c r="M32" i="9"/>
  <c r="F64" i="9"/>
  <c r="M56" i="9"/>
  <c r="F49" i="9"/>
  <c r="F56" i="9"/>
  <c r="M64" i="9"/>
  <c r="M25" i="9"/>
  <c r="M65" i="9"/>
  <c r="M49" i="9"/>
  <c r="H15" i="9"/>
  <c r="F15" i="9"/>
  <c r="M33" i="9"/>
  <c r="M41" i="9"/>
  <c r="G55" i="9"/>
  <c r="G47" i="9"/>
  <c r="G63" i="9"/>
  <c r="G39" i="9"/>
  <c r="G23" i="9"/>
  <c r="M108" i="5"/>
  <c r="P108" i="5"/>
  <c r="J108" i="5"/>
  <c r="M38" i="5"/>
  <c r="J46" i="5"/>
  <c r="M46" i="5"/>
  <c r="P44" i="5"/>
  <c r="Q42" i="5"/>
  <c r="J62" i="5"/>
  <c r="M54" i="5"/>
  <c r="Q60" i="5"/>
  <c r="M62" i="5"/>
  <c r="M58" i="5"/>
  <c r="P24" i="5"/>
  <c r="J22" i="5"/>
  <c r="P58" i="5"/>
  <c r="M22" i="5"/>
  <c r="Q22" i="5"/>
  <c r="M28" i="5"/>
  <c r="J58" i="5"/>
  <c r="M36" i="5"/>
  <c r="M30" i="5"/>
  <c r="J30" i="5"/>
  <c r="M32" i="5"/>
  <c r="Q30" i="5"/>
  <c r="Q38" i="5"/>
  <c r="J38" i="5"/>
  <c r="M56" i="5"/>
  <c r="Q26" i="5"/>
  <c r="M26" i="5"/>
  <c r="J54" i="5"/>
  <c r="P40" i="5"/>
  <c r="P54" i="5"/>
  <c r="Q46" i="5"/>
  <c r="J26" i="5"/>
  <c r="J42" i="5"/>
  <c r="Q34" i="5"/>
  <c r="P50" i="5"/>
  <c r="M42" i="5"/>
  <c r="M52" i="5"/>
  <c r="M20" i="5"/>
  <c r="Q56" i="5"/>
  <c r="J56" i="5"/>
  <c r="P60" i="5"/>
  <c r="J60" i="5"/>
  <c r="P62" i="5"/>
  <c r="Q40" i="5"/>
  <c r="J40" i="5"/>
  <c r="Q44" i="5"/>
  <c r="J44" i="5"/>
  <c r="Q20" i="5"/>
  <c r="J20" i="5"/>
  <c r="Q52" i="5"/>
  <c r="J52" i="5"/>
  <c r="J50" i="5"/>
  <c r="J34" i="5"/>
  <c r="J18" i="5"/>
  <c r="Q32" i="5"/>
  <c r="J32" i="5"/>
  <c r="Q36" i="5"/>
  <c r="J36" i="5"/>
  <c r="Q48" i="5"/>
  <c r="J48" i="5"/>
  <c r="Q18" i="5"/>
  <c r="M50" i="5"/>
  <c r="M34" i="5"/>
  <c r="M18" i="5"/>
  <c r="P48" i="5"/>
  <c r="Q24" i="5"/>
  <c r="J24" i="5"/>
  <c r="Q28" i="5"/>
  <c r="J28" i="5"/>
  <c r="Q80" i="5"/>
  <c r="P80" i="5"/>
  <c r="M80" i="5"/>
  <c r="J80" i="5"/>
  <c r="Q98" i="5"/>
  <c r="P98" i="5"/>
  <c r="M98" i="5"/>
  <c r="J98" i="5"/>
  <c r="Q71" i="5"/>
  <c r="P71" i="5"/>
  <c r="M71" i="5"/>
  <c r="J71" i="5"/>
  <c r="Q94" i="5"/>
  <c r="P94" i="5"/>
  <c r="M94" i="5"/>
  <c r="J94" i="5"/>
  <c r="Q67" i="5"/>
  <c r="P67" i="5"/>
  <c r="M67" i="5"/>
  <c r="J67" i="5"/>
  <c r="M57" i="5"/>
  <c r="J57" i="5"/>
  <c r="Q57" i="5"/>
  <c r="P57" i="5"/>
  <c r="M19" i="5"/>
  <c r="Q19" i="5"/>
  <c r="P19" i="5"/>
  <c r="J19" i="5"/>
  <c r="M77" i="5"/>
  <c r="J77" i="5"/>
  <c r="Q77" i="5"/>
  <c r="P77" i="5"/>
  <c r="Q99" i="5"/>
  <c r="P99" i="5"/>
  <c r="M99" i="5"/>
  <c r="J99" i="5"/>
  <c r="M73" i="5"/>
  <c r="J73" i="5"/>
  <c r="Q73" i="5"/>
  <c r="P73" i="5"/>
  <c r="M21" i="5"/>
  <c r="J21" i="5"/>
  <c r="Q21" i="5"/>
  <c r="P21" i="5"/>
  <c r="Q90" i="5"/>
  <c r="P90" i="5"/>
  <c r="M90" i="5"/>
  <c r="J90" i="5"/>
  <c r="Q95" i="5"/>
  <c r="P95" i="5"/>
  <c r="M95" i="5"/>
  <c r="J95" i="5"/>
  <c r="Q63" i="5"/>
  <c r="P63" i="5"/>
  <c r="M63" i="5"/>
  <c r="J63" i="5"/>
  <c r="Q47" i="5"/>
  <c r="M47" i="5"/>
  <c r="P47" i="5"/>
  <c r="J47" i="5"/>
  <c r="Q31" i="5"/>
  <c r="M31" i="5"/>
  <c r="P31" i="5"/>
  <c r="J31" i="5"/>
  <c r="M41" i="5"/>
  <c r="J41" i="5"/>
  <c r="Q41" i="5"/>
  <c r="P41" i="5"/>
  <c r="Q104" i="5"/>
  <c r="J104" i="5"/>
  <c r="P104" i="5"/>
  <c r="M104" i="5"/>
  <c r="Q72" i="5"/>
  <c r="P72" i="5"/>
  <c r="M72" i="5"/>
  <c r="J72" i="5"/>
  <c r="M105" i="5"/>
  <c r="J105" i="5"/>
  <c r="P105" i="5"/>
  <c r="Q105" i="5"/>
  <c r="M53" i="5"/>
  <c r="J53" i="5"/>
  <c r="Q53" i="5"/>
  <c r="P53" i="5"/>
  <c r="M37" i="5"/>
  <c r="J37" i="5"/>
  <c r="Q37" i="5"/>
  <c r="P37" i="5"/>
  <c r="Q100" i="5"/>
  <c r="J100" i="5"/>
  <c r="P100" i="5"/>
  <c r="M100" i="5"/>
  <c r="Q68" i="5"/>
  <c r="P68" i="5"/>
  <c r="M68" i="5"/>
  <c r="J68" i="5"/>
  <c r="M101" i="5"/>
  <c r="J101" i="5"/>
  <c r="P101" i="5"/>
  <c r="Q101" i="5"/>
  <c r="M69" i="5"/>
  <c r="J69" i="5"/>
  <c r="Q69" i="5"/>
  <c r="P69" i="5"/>
  <c r="Q86" i="5"/>
  <c r="P86" i="5"/>
  <c r="M86" i="5"/>
  <c r="J86" i="5"/>
  <c r="Q91" i="5"/>
  <c r="P91" i="5"/>
  <c r="M91" i="5"/>
  <c r="J91" i="5"/>
  <c r="M81" i="5"/>
  <c r="J81" i="5"/>
  <c r="Q81" i="5"/>
  <c r="P81" i="5"/>
  <c r="Q66" i="5"/>
  <c r="P66" i="5"/>
  <c r="M66" i="5"/>
  <c r="J66" i="5"/>
  <c r="Q35" i="5"/>
  <c r="M35" i="5"/>
  <c r="P35" i="5"/>
  <c r="J35" i="5"/>
  <c r="M97" i="5"/>
  <c r="J97" i="5"/>
  <c r="P97" i="5"/>
  <c r="Q97" i="5"/>
  <c r="M65" i="5"/>
  <c r="J65" i="5"/>
  <c r="Q65" i="5"/>
  <c r="P65" i="5"/>
  <c r="M49" i="5"/>
  <c r="J49" i="5"/>
  <c r="Q49" i="5"/>
  <c r="P49" i="5"/>
  <c r="M33" i="5"/>
  <c r="J33" i="5"/>
  <c r="Q33" i="5"/>
  <c r="P33" i="5"/>
  <c r="M17" i="5"/>
  <c r="J17" i="5"/>
  <c r="Q17" i="5"/>
  <c r="P17" i="5"/>
  <c r="Q82" i="5"/>
  <c r="P82" i="5"/>
  <c r="M82" i="5"/>
  <c r="J82" i="5"/>
  <c r="Q87" i="5"/>
  <c r="P87" i="5"/>
  <c r="M87" i="5"/>
  <c r="J87" i="5"/>
  <c r="M59" i="5"/>
  <c r="Q59" i="5"/>
  <c r="P59" i="5"/>
  <c r="J59" i="5"/>
  <c r="M43" i="5"/>
  <c r="Q43" i="5"/>
  <c r="P43" i="5"/>
  <c r="J43" i="5"/>
  <c r="Q27" i="5"/>
  <c r="P27" i="5"/>
  <c r="M27" i="5"/>
  <c r="J27" i="5"/>
  <c r="Q64" i="5"/>
  <c r="P64" i="5"/>
  <c r="M64" i="5"/>
  <c r="J64" i="5"/>
  <c r="Q110" i="5"/>
  <c r="P110" i="5"/>
  <c r="M110" i="5"/>
  <c r="J110" i="5"/>
  <c r="Q83" i="5"/>
  <c r="P83" i="5"/>
  <c r="M83" i="5"/>
  <c r="J83" i="5"/>
  <c r="M89" i="5"/>
  <c r="J89" i="5"/>
  <c r="Q89" i="5"/>
  <c r="P89" i="5"/>
  <c r="M29" i="5"/>
  <c r="J29" i="5"/>
  <c r="Q29" i="5"/>
  <c r="P29" i="5"/>
  <c r="Q106" i="5"/>
  <c r="P106" i="5"/>
  <c r="M106" i="5"/>
  <c r="J106" i="5"/>
  <c r="Q74" i="5"/>
  <c r="P74" i="5"/>
  <c r="M74" i="5"/>
  <c r="J74" i="5"/>
  <c r="Q79" i="5"/>
  <c r="P79" i="5"/>
  <c r="M79" i="5"/>
  <c r="J79" i="5"/>
  <c r="Q55" i="5"/>
  <c r="P55" i="5"/>
  <c r="M55" i="5"/>
  <c r="J55" i="5"/>
  <c r="M39" i="5"/>
  <c r="Q39" i="5"/>
  <c r="P39" i="5"/>
  <c r="J39" i="5"/>
  <c r="M23" i="5"/>
  <c r="Q23" i="5"/>
  <c r="P23" i="5"/>
  <c r="J23" i="5"/>
  <c r="M25" i="5"/>
  <c r="J25" i="5"/>
  <c r="Q25" i="5"/>
  <c r="P25" i="5"/>
  <c r="Q103" i="5"/>
  <c r="P103" i="5"/>
  <c r="M103" i="5"/>
  <c r="J103" i="5"/>
  <c r="Q51" i="5"/>
  <c r="M51" i="5"/>
  <c r="P51" i="5"/>
  <c r="J51" i="5"/>
  <c r="Q76" i="5"/>
  <c r="P76" i="5"/>
  <c r="M76" i="5"/>
  <c r="J76" i="5"/>
  <c r="M109" i="5"/>
  <c r="J109" i="5"/>
  <c r="P109" i="5"/>
  <c r="Q109" i="5"/>
  <c r="Q96" i="5"/>
  <c r="J96" i="5"/>
  <c r="P96" i="5"/>
  <c r="M96" i="5"/>
  <c r="J92" i="5"/>
  <c r="Q92" i="5"/>
  <c r="P92" i="5"/>
  <c r="M92" i="5"/>
  <c r="M93" i="5"/>
  <c r="J93" i="5"/>
  <c r="P93" i="5"/>
  <c r="Q93" i="5"/>
  <c r="Q78" i="5"/>
  <c r="P78" i="5"/>
  <c r="M78" i="5"/>
  <c r="J78" i="5"/>
  <c r="Q88" i="5"/>
  <c r="P88" i="5"/>
  <c r="M88" i="5"/>
  <c r="J88" i="5"/>
  <c r="M61" i="5"/>
  <c r="J61" i="5"/>
  <c r="Q61" i="5"/>
  <c r="P61" i="5"/>
  <c r="M45" i="5"/>
  <c r="J45" i="5"/>
  <c r="Q45" i="5"/>
  <c r="P45" i="5"/>
  <c r="Q84" i="5"/>
  <c r="P84" i="5"/>
  <c r="M84" i="5"/>
  <c r="J84" i="5"/>
  <c r="M85" i="5"/>
  <c r="J85" i="5"/>
  <c r="Q85" i="5"/>
  <c r="P85" i="5"/>
  <c r="Q102" i="5"/>
  <c r="P102" i="5"/>
  <c r="M102" i="5"/>
  <c r="J102" i="5"/>
  <c r="Q70" i="5"/>
  <c r="P70" i="5"/>
  <c r="M70" i="5"/>
  <c r="J70" i="5"/>
  <c r="Q107" i="5"/>
  <c r="P107" i="5"/>
  <c r="M107" i="5"/>
  <c r="J107" i="5"/>
  <c r="Q75" i="5"/>
  <c r="P75" i="5"/>
  <c r="M75" i="5"/>
  <c r="J75" i="5"/>
  <c r="H40" i="2"/>
  <c r="G39" i="2"/>
  <c r="M24" i="2"/>
  <c r="F58" i="2"/>
  <c r="H41" i="2"/>
  <c r="M33" i="2"/>
  <c r="H24" i="2"/>
  <c r="H42" i="2"/>
  <c r="F65" i="2"/>
  <c r="H56" i="2"/>
  <c r="G41" i="2"/>
  <c r="F16" i="2"/>
  <c r="H58" i="2"/>
  <c r="F56" i="2"/>
  <c r="F26" i="2"/>
  <c r="M56" i="2"/>
  <c r="M34" i="2"/>
  <c r="H14" i="2"/>
  <c r="F64" i="2"/>
  <c r="F49" i="2"/>
  <c r="M40" i="2"/>
  <c r="F32" i="2"/>
  <c r="F24" i="2"/>
  <c r="M42" i="2"/>
  <c r="M65" i="2"/>
  <c r="M64" i="2"/>
  <c r="G24" i="2"/>
  <c r="F33" i="2"/>
  <c r="F57" i="2"/>
  <c r="H65" i="2"/>
  <c r="F14" i="2"/>
  <c r="H33" i="2"/>
  <c r="H64" i="2"/>
  <c r="M58" i="2"/>
  <c r="H34" i="2"/>
  <c r="M48" i="2"/>
  <c r="F42" i="2"/>
  <c r="M57" i="2"/>
  <c r="M41" i="2"/>
  <c r="G31" i="2"/>
  <c r="F34" i="2"/>
  <c r="M32" i="2"/>
  <c r="F41" i="2"/>
  <c r="F25" i="2"/>
  <c r="M25" i="2"/>
  <c r="G23" i="2"/>
  <c r="G63" i="2"/>
  <c r="H50" i="2"/>
  <c r="S14" i="5"/>
  <c r="H26" i="2"/>
  <c r="H15" i="2"/>
  <c r="H16" i="2"/>
  <c r="M26" i="2"/>
  <c r="F15" i="2"/>
  <c r="H57" i="2"/>
  <c r="G48" i="2"/>
  <c r="H66" i="2"/>
  <c r="F50" i="2"/>
  <c r="G47" i="2"/>
  <c r="M49" i="2"/>
  <c r="G40" i="2"/>
  <c r="F40" i="2"/>
  <c r="H32" i="2"/>
  <c r="G66" i="2"/>
  <c r="M66" i="2"/>
  <c r="L10" i="2"/>
  <c r="G55" i="2"/>
  <c r="G50" i="2"/>
  <c r="H49" i="2"/>
  <c r="F66" i="2"/>
  <c r="M50" i="2"/>
  <c r="H25" i="2"/>
  <c r="G65" i="2"/>
  <c r="G32" i="9" l="1"/>
  <c r="G58" i="9"/>
  <c r="G15" i="9"/>
  <c r="G25" i="9"/>
  <c r="G34" i="9"/>
  <c r="G56" i="9"/>
  <c r="G49" i="9"/>
  <c r="K4" i="7" s="1"/>
  <c r="G33" i="9"/>
  <c r="G26" i="9"/>
  <c r="G14" i="9"/>
  <c r="G64" i="9"/>
  <c r="G16" i="9"/>
  <c r="G57" i="9"/>
  <c r="G42" i="9"/>
  <c r="K3" i="7" s="1"/>
  <c r="G16" i="2"/>
  <c r="G25" i="2"/>
  <c r="G26" i="2"/>
  <c r="G56" i="2"/>
  <c r="G14" i="2"/>
  <c r="G64" i="2"/>
  <c r="G57" i="2"/>
  <c r="G58" i="2"/>
  <c r="G32" i="2"/>
  <c r="G15" i="2"/>
  <c r="G33" i="2"/>
  <c r="G34" i="2"/>
  <c r="G42" i="2"/>
  <c r="G49" i="2"/>
  <c r="K1" i="7" l="1"/>
  <c r="K5" i="7"/>
  <c r="K6" i="7"/>
  <c r="K2" i="7"/>
  <c r="C65" i="2"/>
  <c r="C64" i="2"/>
  <c r="C63" i="2"/>
  <c r="C57" i="2"/>
  <c r="C56" i="2"/>
  <c r="C55" i="2"/>
  <c r="C49" i="2"/>
  <c r="C48" i="2"/>
  <c r="C47" i="2"/>
  <c r="C41" i="2"/>
  <c r="C40" i="2"/>
  <c r="C39" i="2"/>
  <c r="C33" i="2"/>
  <c r="C32" i="2"/>
  <c r="C31" i="2"/>
  <c r="C25" i="2"/>
  <c r="C24" i="2"/>
  <c r="C23" i="2"/>
  <c r="C15" i="2"/>
  <c r="C14" i="2"/>
  <c r="C13" i="2"/>
  <c r="F54" i="1"/>
  <c r="E54" i="1"/>
  <c r="G53" i="1" s="1"/>
  <c r="E36" i="1"/>
  <c r="C42" i="2" s="1"/>
  <c r="G54" i="1" l="1"/>
  <c r="G43" i="1"/>
  <c r="G56" i="1" s="1"/>
  <c r="G44" i="1"/>
  <c r="G45" i="1"/>
  <c r="G46" i="1"/>
  <c r="G47" i="1"/>
  <c r="G48" i="1"/>
  <c r="G49" i="1"/>
  <c r="G50" i="1"/>
  <c r="C50" i="2"/>
  <c r="C58" i="2"/>
  <c r="C66" i="2"/>
  <c r="G51" i="1"/>
  <c r="G52" i="1"/>
  <c r="C26" i="2"/>
  <c r="C34" i="2"/>
  <c r="C16" i="2"/>
  <c r="D29" i="1" l="1"/>
  <c r="F35" i="1" s="1"/>
  <c r="L55" i="2" l="1"/>
  <c r="L63" i="2"/>
  <c r="L47" i="2"/>
  <c r="L39" i="2"/>
  <c r="L31" i="2"/>
  <c r="L23" i="2"/>
  <c r="F34" i="1"/>
  <c r="F33" i="1"/>
  <c r="F37" i="1" l="1"/>
  <c r="D56" i="2" l="1"/>
  <c r="D64" i="8"/>
  <c r="L26" i="2"/>
  <c r="L58" i="2"/>
  <c r="L56" i="2"/>
  <c r="L65" i="2"/>
  <c r="L25" i="2"/>
  <c r="L57" i="2"/>
  <c r="L41" i="2"/>
  <c r="L42" i="2"/>
  <c r="L34" i="2"/>
  <c r="L40" i="2"/>
  <c r="L24" i="2"/>
  <c r="L50" i="2"/>
  <c r="L32" i="2"/>
  <c r="L64" i="2"/>
  <c r="L66" i="2"/>
  <c r="L33" i="2"/>
  <c r="L49" i="2"/>
  <c r="L48" i="2"/>
  <c r="D24" i="2"/>
  <c r="D26" i="2"/>
  <c r="D57" i="2"/>
  <c r="D65" i="2"/>
  <c r="D58" i="2"/>
  <c r="D16" i="2"/>
  <c r="D15" i="2"/>
  <c r="D64" i="2"/>
  <c r="D14" i="2"/>
  <c r="D39" i="2"/>
  <c r="I39" i="2" s="1"/>
  <c r="D23" i="2"/>
  <c r="I23" i="2" s="1"/>
  <c r="D63" i="2"/>
  <c r="I63" i="2" s="1"/>
  <c r="D66" i="2"/>
  <c r="D50" i="2"/>
  <c r="D55" i="2"/>
  <c r="I55" i="2" s="1"/>
  <c r="D34" i="2"/>
  <c r="D47" i="2"/>
  <c r="I47" i="2" s="1"/>
  <c r="D48" i="2"/>
  <c r="D33" i="2"/>
  <c r="D42" i="2"/>
  <c r="D31" i="2"/>
  <c r="I31" i="2" s="1"/>
  <c r="D41" i="2"/>
  <c r="D25" i="2"/>
  <c r="D13" i="2"/>
  <c r="I13" i="2" s="1"/>
  <c r="D40" i="2"/>
  <c r="D49" i="2"/>
  <c r="D32" i="2"/>
  <c r="J24" i="9" l="1"/>
  <c r="I24" i="2"/>
  <c r="O24" i="2" s="1"/>
  <c r="J57" i="9"/>
  <c r="I57" i="2"/>
  <c r="O57" i="2" s="1"/>
  <c r="J65" i="9"/>
  <c r="I65" i="2"/>
  <c r="O65" i="2" s="1"/>
  <c r="J32" i="9"/>
  <c r="I32" i="2"/>
  <c r="O32" i="2" s="1"/>
  <c r="J41" i="9"/>
  <c r="I41" i="2"/>
  <c r="O41" i="2" s="1"/>
  <c r="J42" i="9"/>
  <c r="I42" i="2"/>
  <c r="O42" i="2" s="1"/>
  <c r="J64" i="9"/>
  <c r="I64" i="2"/>
  <c r="O64" i="2" s="1"/>
  <c r="J49" i="9"/>
  <c r="I49" i="2"/>
  <c r="O49" i="2" s="1"/>
  <c r="J66" i="9"/>
  <c r="I66" i="2"/>
  <c r="O66" i="2" s="1"/>
  <c r="J14" i="9"/>
  <c r="I14" i="2"/>
  <c r="L14" i="2" s="1"/>
  <c r="J33" i="9"/>
  <c r="I33" i="2"/>
  <c r="O33" i="2" s="1"/>
  <c r="J15" i="9"/>
  <c r="I15" i="2"/>
  <c r="L15" i="2" s="1"/>
  <c r="J26" i="9"/>
  <c r="I26" i="2"/>
  <c r="O26" i="2" s="1"/>
  <c r="J48" i="9"/>
  <c r="I48" i="2"/>
  <c r="O48" i="2" s="1"/>
  <c r="J16" i="9"/>
  <c r="I16" i="2"/>
  <c r="L16" i="2" s="1"/>
  <c r="J34" i="9"/>
  <c r="I34" i="2"/>
  <c r="O34" i="2" s="1"/>
  <c r="J50" i="9"/>
  <c r="I50" i="2"/>
  <c r="O50" i="2" s="1"/>
  <c r="J40" i="9"/>
  <c r="I40" i="2"/>
  <c r="O40" i="2" s="1"/>
  <c r="J25" i="9"/>
  <c r="I25" i="2"/>
  <c r="O25" i="2" s="1"/>
  <c r="J58" i="9"/>
  <c r="I58" i="2"/>
  <c r="O58" i="2" s="1"/>
  <c r="J56" i="9"/>
  <c r="I56" i="2"/>
  <c r="O56" i="2" s="1"/>
  <c r="R58" i="2"/>
  <c r="F24" i="8" s="1"/>
  <c r="R66" i="2"/>
  <c r="F25" i="8" s="1"/>
  <c r="N16" i="2"/>
  <c r="N13" i="2" s="1"/>
  <c r="R50" i="2"/>
  <c r="F23" i="8" s="1"/>
  <c r="R42" i="2"/>
  <c r="F22" i="8" s="1"/>
  <c r="R34" i="2"/>
  <c r="F21" i="8" s="1"/>
  <c r="R26" i="2"/>
  <c r="F20" i="8" s="1"/>
  <c r="R40" i="9"/>
  <c r="R24" i="9"/>
  <c r="J63" i="9"/>
  <c r="R64" i="9"/>
  <c r="R65" i="9" s="1"/>
  <c r="J55" i="9"/>
  <c r="R56" i="9"/>
  <c r="R57" i="9" s="1"/>
  <c r="J47" i="9"/>
  <c r="R48" i="9"/>
  <c r="R49" i="9" s="1"/>
  <c r="J31" i="9"/>
  <c r="R32" i="9"/>
  <c r="R33" i="9" s="1"/>
  <c r="J13" i="9"/>
  <c r="N14" i="9"/>
  <c r="O39" i="2"/>
  <c r="J39" i="9"/>
  <c r="O23" i="2"/>
  <c r="J23" i="9"/>
  <c r="O63" i="2"/>
  <c r="O47" i="2"/>
  <c r="O55" i="2"/>
  <c r="O31" i="2"/>
  <c r="L13" i="2"/>
  <c r="J14" i="2"/>
  <c r="J16" i="2"/>
  <c r="J15" i="2"/>
  <c r="D25" i="8"/>
  <c r="J39" i="2"/>
  <c r="J64" i="2"/>
  <c r="R64" i="2"/>
  <c r="D24" i="8"/>
  <c r="D21" i="8"/>
  <c r="J55" i="2"/>
  <c r="J32" i="2"/>
  <c r="R56" i="2"/>
  <c r="J65" i="2"/>
  <c r="J23" i="2"/>
  <c r="J24" i="2"/>
  <c r="R48" i="2"/>
  <c r="J66" i="2"/>
  <c r="D16" i="8"/>
  <c r="R24" i="2"/>
  <c r="R40" i="2"/>
  <c r="J58" i="2"/>
  <c r="J57" i="2"/>
  <c r="R49" i="2"/>
  <c r="N14" i="2"/>
  <c r="R32" i="2"/>
  <c r="J56" i="2"/>
  <c r="J33" i="2"/>
  <c r="R57" i="2"/>
  <c r="R33" i="2"/>
  <c r="J47" i="2"/>
  <c r="J41" i="2"/>
  <c r="J48" i="2"/>
  <c r="J13" i="2"/>
  <c r="J31" i="2"/>
  <c r="J63" i="2"/>
  <c r="J50" i="2"/>
  <c r="J42" i="2"/>
  <c r="J26" i="2"/>
  <c r="J49" i="2"/>
  <c r="J40" i="2"/>
  <c r="J34" i="2"/>
  <c r="J25" i="2"/>
  <c r="D23" i="8"/>
  <c r="R65" i="2"/>
  <c r="N32" i="9" l="1"/>
  <c r="N25" i="9"/>
  <c r="N48" i="9"/>
  <c r="N64" i="9"/>
  <c r="N42" i="9"/>
  <c r="N50" i="9"/>
  <c r="N58" i="9"/>
  <c r="N34" i="9"/>
  <c r="N56" i="9"/>
  <c r="N24" i="9"/>
  <c r="N41" i="9"/>
  <c r="N57" i="9"/>
  <c r="N33" i="9"/>
  <c r="N40" i="9"/>
  <c r="N66" i="9"/>
  <c r="N65" i="9"/>
  <c r="N26" i="9"/>
  <c r="N49" i="9"/>
  <c r="G25" i="8"/>
  <c r="C25" i="8"/>
  <c r="G24" i="8"/>
  <c r="C24" i="8"/>
  <c r="G23" i="8"/>
  <c r="C23" i="8"/>
  <c r="G22" i="8"/>
  <c r="G21" i="8"/>
  <c r="C21" i="8"/>
  <c r="G20" i="8"/>
  <c r="R41" i="9"/>
  <c r="R25" i="9"/>
  <c r="J67" i="2"/>
  <c r="N63" i="9"/>
  <c r="J59" i="2"/>
  <c r="N55" i="9"/>
  <c r="J51" i="2"/>
  <c r="N23" i="9"/>
  <c r="N47" i="9"/>
  <c r="N39" i="9"/>
  <c r="N31" i="9"/>
  <c r="N15" i="9"/>
  <c r="J43" i="2"/>
  <c r="J27" i="2"/>
  <c r="D69" i="8"/>
  <c r="D72" i="8"/>
  <c r="R47" i="2"/>
  <c r="E23" i="8" s="1"/>
  <c r="R63" i="2"/>
  <c r="E25" i="8" s="1"/>
  <c r="R39" i="2"/>
  <c r="E22" i="8" s="1"/>
  <c r="R31" i="2"/>
  <c r="E21" i="8" s="1"/>
  <c r="O59" i="2"/>
  <c r="L17" i="2"/>
  <c r="O67" i="2"/>
  <c r="R23" i="2"/>
  <c r="E20" i="8" s="1"/>
  <c r="O51" i="2"/>
  <c r="I67" i="2"/>
  <c r="O35" i="2"/>
  <c r="J35" i="2"/>
  <c r="O43" i="2"/>
  <c r="I51" i="2"/>
  <c r="I27" i="2"/>
  <c r="O27" i="2"/>
  <c r="J17" i="2"/>
  <c r="I59" i="2"/>
  <c r="R55" i="2"/>
  <c r="E24" i="8" s="1"/>
  <c r="I43" i="2"/>
  <c r="I35" i="2"/>
  <c r="I17" i="2"/>
  <c r="N56" i="2"/>
  <c r="N66" i="2"/>
  <c r="N63" i="2"/>
  <c r="N25" i="2"/>
  <c r="N58" i="2"/>
  <c r="N33" i="2"/>
  <c r="D22" i="8"/>
  <c r="N48" i="2"/>
  <c r="N65" i="2"/>
  <c r="N47" i="2"/>
  <c r="N24" i="2"/>
  <c r="F28" i="8"/>
  <c r="R25" i="2"/>
  <c r="N32" i="2"/>
  <c r="N41" i="2"/>
  <c r="N31" i="2"/>
  <c r="N15" i="2"/>
  <c r="C16" i="8"/>
  <c r="E28" i="8"/>
  <c r="N49" i="2"/>
  <c r="F33" i="8"/>
  <c r="N64" i="2"/>
  <c r="N34" i="2"/>
  <c r="N50" i="2"/>
  <c r="R41" i="2"/>
  <c r="N42" i="2"/>
  <c r="D15" i="8"/>
  <c r="N26" i="2"/>
  <c r="D20" i="8"/>
  <c r="N55" i="2"/>
  <c r="N23" i="2"/>
  <c r="N39" i="2"/>
  <c r="N40" i="2"/>
  <c r="E33" i="8"/>
  <c r="N57" i="2"/>
  <c r="C15" i="8"/>
  <c r="H67" i="1" l="1"/>
  <c r="F54" i="8" s="1"/>
  <c r="G67" i="1"/>
  <c r="E54" i="8" s="1"/>
  <c r="F67" i="1"/>
  <c r="D54" i="8" s="1"/>
  <c r="E67" i="1"/>
  <c r="C54" i="8" s="1"/>
  <c r="H66" i="1"/>
  <c r="F53" i="8" s="1"/>
  <c r="G66" i="1"/>
  <c r="E53" i="8" s="1"/>
  <c r="F66" i="1"/>
  <c r="D53" i="8" s="1"/>
  <c r="E66" i="1"/>
  <c r="C53" i="8" s="1"/>
  <c r="C22" i="8"/>
  <c r="C20" i="8"/>
  <c r="D77" i="8"/>
  <c r="D67" i="8"/>
  <c r="D68" i="8"/>
  <c r="D70" i="8"/>
  <c r="D73" i="8"/>
  <c r="D71" i="8"/>
  <c r="D44" i="8"/>
  <c r="D45" i="8"/>
  <c r="D14" i="8"/>
  <c r="E68" i="1"/>
  <c r="G28" i="8"/>
  <c r="C14" i="8"/>
  <c r="D43" i="8"/>
  <c r="G33" i="8"/>
  <c r="D78" i="8" l="1"/>
  <c r="D79" i="8"/>
  <c r="C55" i="8"/>
</calcChain>
</file>

<file path=xl/sharedStrings.xml><?xml version="1.0" encoding="utf-8"?>
<sst xmlns="http://schemas.openxmlformats.org/spreadsheetml/2006/main" count="1207" uniqueCount="1068">
  <si>
    <t>Value</t>
  </si>
  <si>
    <t>Unit</t>
  </si>
  <si>
    <t>Electricity Cost (Average)</t>
  </si>
  <si>
    <t>$/kWh</t>
  </si>
  <si>
    <t>pcs.</t>
  </si>
  <si>
    <t>Operating Hours / Day</t>
  </si>
  <si>
    <t>hours</t>
  </si>
  <si>
    <t>Operating Days / Week</t>
  </si>
  <si>
    <t>days</t>
  </si>
  <si>
    <t>Actual Primary Pump Head (Design)</t>
  </si>
  <si>
    <t>Pump, VFD, Motor Efficiency (Average)</t>
  </si>
  <si>
    <t>%</t>
  </si>
  <si>
    <t>Design Delta T</t>
  </si>
  <si>
    <t>Future Delta T (Energy Valve Delta T Manager Setting)</t>
  </si>
  <si>
    <t>Editable Field</t>
  </si>
  <si>
    <t>Label</t>
  </si>
  <si>
    <t>Annual Operating Hours</t>
  </si>
  <si>
    <t>Climate Region</t>
  </si>
  <si>
    <t>North East</t>
  </si>
  <si>
    <t>Point</t>
  </si>
  <si>
    <t>Bin</t>
  </si>
  <si>
    <t>Load</t>
  </si>
  <si>
    <t>% of Operating Time</t>
  </si>
  <si>
    <t>Operating Hours</t>
  </si>
  <si>
    <t>A</t>
  </si>
  <si>
    <t>Design</t>
  </si>
  <si>
    <t>B</t>
  </si>
  <si>
    <t>Peak</t>
  </si>
  <si>
    <t>C</t>
  </si>
  <si>
    <t>Low</t>
  </si>
  <si>
    <t>D</t>
  </si>
  <si>
    <t>Min</t>
  </si>
  <si>
    <t>Cooling Degree Days</t>
  </si>
  <si>
    <t>Humidity Adjustment</t>
  </si>
  <si>
    <t>Multiplier</t>
  </si>
  <si>
    <t>Central</t>
  </si>
  <si>
    <t>East North Central</t>
  </si>
  <si>
    <t>West North Central</t>
  </si>
  <si>
    <t>South East</t>
  </si>
  <si>
    <t>South</t>
  </si>
  <si>
    <t>Mountain</t>
  </si>
  <si>
    <t>North West</t>
  </si>
  <si>
    <t>Custom Region</t>
  </si>
  <si>
    <t>Average US</t>
  </si>
  <si>
    <t>Pump Design Factor</t>
  </si>
  <si>
    <t>Load [%]</t>
  </si>
  <si>
    <t>Time [%]</t>
  </si>
  <si>
    <t>Time [h]</t>
  </si>
  <si>
    <t>Power [kW]</t>
  </si>
  <si>
    <t>Pump costs</t>
  </si>
  <si>
    <t>Energy [kWh]</t>
  </si>
  <si>
    <t xml:space="preserve"> </t>
  </si>
  <si>
    <t>Minimum Pump head</t>
  </si>
  <si>
    <t>`</t>
  </si>
  <si>
    <t>Number Of Coils</t>
  </si>
  <si>
    <t>Used to Calculate Projected Flow</t>
  </si>
  <si>
    <t>Y</t>
  </si>
  <si>
    <t>Linear Part</t>
  </si>
  <si>
    <t>Equal Part</t>
  </si>
  <si>
    <t>btuH</t>
  </si>
  <si>
    <t>Linear</t>
  </si>
  <si>
    <t>EQ %</t>
  </si>
  <si>
    <t>In %</t>
  </si>
  <si>
    <t>In V</t>
  </si>
  <si>
    <t>g/min.</t>
  </si>
  <si>
    <r>
      <rPr>
        <b/>
        <sz val="10"/>
        <rFont val="Calibri"/>
        <family val="2"/>
      </rPr>
      <t>°</t>
    </r>
    <r>
      <rPr>
        <b/>
        <sz val="10"/>
        <rFont val="Arial"/>
        <family val="2"/>
      </rPr>
      <t>F</t>
    </r>
  </si>
  <si>
    <t>btu/H</t>
  </si>
  <si>
    <t>EQ%</t>
  </si>
  <si>
    <t>BTU [h]</t>
  </si>
  <si>
    <t>Avg [Tons]</t>
  </si>
  <si>
    <t>Pumping Cost</t>
  </si>
  <si>
    <t>weeks</t>
  </si>
  <si>
    <t>BTU/h</t>
  </si>
  <si>
    <t>As % of Design</t>
  </si>
  <si>
    <t>Increase</t>
  </si>
  <si>
    <t xml:space="preserve">Additional </t>
  </si>
  <si>
    <t>Total Annual</t>
  </si>
  <si>
    <t>Gallons</t>
  </si>
  <si>
    <t>Additonal</t>
  </si>
  <si>
    <t>Pump Costs</t>
  </si>
  <si>
    <t>Sheet</t>
  </si>
  <si>
    <t>Cell Address</t>
  </si>
  <si>
    <t>Information Displayed</t>
  </si>
  <si>
    <t>Annual Gallons</t>
  </si>
  <si>
    <t>From</t>
  </si>
  <si>
    <t>To</t>
  </si>
  <si>
    <t>Calculate Annual Savings by Changing the DeltaT using the slider</t>
  </si>
  <si>
    <t>Max Flow Rate</t>
  </si>
  <si>
    <t>$E$5</t>
  </si>
  <si>
    <t>$E$6</t>
  </si>
  <si>
    <t>Mininum Flow Value * Future Feature *</t>
  </si>
  <si>
    <t xml:space="preserve">Pump Design Factor - Enter the percentage of additional pumping available due to over sizing or future design.  </t>
  </si>
  <si>
    <t>Home</t>
  </si>
  <si>
    <t>If you not know the Pump Efficency %, a safe value is 70 - 80 Percent.</t>
  </si>
  <si>
    <t>Enter the number of coils the valve is controlling. ** Future Release **</t>
  </si>
  <si>
    <t>V'max</t>
  </si>
  <si>
    <t>Used for Charts</t>
  </si>
  <si>
    <t>Actual Delta T (Prior To Energy Valve Installation)</t>
  </si>
  <si>
    <t>Selected Value</t>
  </si>
  <si>
    <t>Operating Weeks / Year</t>
  </si>
  <si>
    <t>EV050</t>
  </si>
  <si>
    <t>EV075</t>
  </si>
  <si>
    <t>EV100</t>
  </si>
  <si>
    <t>EV125</t>
  </si>
  <si>
    <t>EV150</t>
  </si>
  <si>
    <t>EV200</t>
  </si>
  <si>
    <t>EV200H</t>
  </si>
  <si>
    <t>EV250SU-127</t>
  </si>
  <si>
    <t>EV300SU-180</t>
  </si>
  <si>
    <t>EV400SU-317</t>
  </si>
  <si>
    <t>EV500SU-495</t>
  </si>
  <si>
    <t>EV600SU-713</t>
  </si>
  <si>
    <t>Dual EV's</t>
  </si>
  <si>
    <t>1.65..6.6 gpm</t>
  </si>
  <si>
    <t>2.7..11 gpm</t>
  </si>
  <si>
    <t>4.5..18.2 gpm</t>
  </si>
  <si>
    <t>7.1..28.5 gpm</t>
  </si>
  <si>
    <t>1.25"  DN32</t>
  </si>
  <si>
    <t>0.5"   DN15</t>
  </si>
  <si>
    <t>0.75"   DN20</t>
  </si>
  <si>
    <t>1"  DN25</t>
  </si>
  <si>
    <t>11..44 gpm</t>
  </si>
  <si>
    <t>16.5..66 gpm</t>
  </si>
  <si>
    <t>25..100 gpm</t>
  </si>
  <si>
    <t>1.5"  DN40</t>
  </si>
  <si>
    <t>2"  DN50</t>
  </si>
  <si>
    <t>2.5"  DN65</t>
  </si>
  <si>
    <t>38..127 gpm</t>
  </si>
  <si>
    <t>54..180 gpm</t>
  </si>
  <si>
    <t>3"  DN80</t>
  </si>
  <si>
    <t>95..317 gpm</t>
  </si>
  <si>
    <t>4"  DN100</t>
  </si>
  <si>
    <t>149..495 gpm</t>
  </si>
  <si>
    <t>5"  DN125</t>
  </si>
  <si>
    <t>214..713 gpm</t>
  </si>
  <si>
    <t>6"  DN150</t>
  </si>
  <si>
    <t>Up to 1400 gpm</t>
  </si>
  <si>
    <t>Design Chilled Water Coil Flow [V'max]</t>
  </si>
  <si>
    <t xml:space="preserve">Energy Valve Model </t>
  </si>
  <si>
    <t>Example:</t>
  </si>
  <si>
    <t>Projected Flow Calculations</t>
  </si>
  <si>
    <t>DDC Control signal</t>
  </si>
  <si>
    <t>Valve Position &amp; Flow based on DDC Voltage</t>
  </si>
  <si>
    <t>Voltage</t>
  </si>
  <si>
    <t xml:space="preserve">Hint: Refer to the </t>
  </si>
  <si>
    <t>Blue</t>
  </si>
  <si>
    <t>Columns</t>
  </si>
  <si>
    <t>Pump Savings</t>
  </si>
  <si>
    <t>Use the slider Bar to change the DeltaT Savings Results by 2 degrees</t>
  </si>
  <si>
    <t>Annual Carbon Dioxide Avoided</t>
  </si>
  <si>
    <t>pounds</t>
  </si>
  <si>
    <t>Number of Tree Seedlings Grown for 10 Years</t>
  </si>
  <si>
    <t>tree seedlings</t>
  </si>
  <si>
    <t>Equivalent to Number of Houses' Annual Electricity Use</t>
  </si>
  <si>
    <t>homes</t>
  </si>
  <si>
    <t>calculation according to EPA www.epa.gov</t>
  </si>
  <si>
    <t>based on annual consumption of 12,258 kWh per home according to EPA www.epa.gov</t>
  </si>
  <si>
    <t>Key</t>
  </si>
  <si>
    <t>ES</t>
  </si>
  <si>
    <t>PT</t>
  </si>
  <si>
    <t>FR</t>
  </si>
  <si>
    <t>LANGUAGE_LABEL</t>
  </si>
  <si>
    <t>Language</t>
  </si>
  <si>
    <t>Idioma</t>
  </si>
  <si>
    <t>Langue</t>
  </si>
  <si>
    <t>UNITS_LABEL</t>
  </si>
  <si>
    <t>Units</t>
  </si>
  <si>
    <t>Unidades</t>
  </si>
  <si>
    <t>Unités</t>
  </si>
  <si>
    <t>COIL_VALUE_HDR</t>
  </si>
  <si>
    <t>Valor</t>
  </si>
  <si>
    <t>Valeur</t>
  </si>
  <si>
    <t>COIL_UNIT_HDR</t>
  </si>
  <si>
    <t>Unidad</t>
  </si>
  <si>
    <t>Unidade</t>
  </si>
  <si>
    <t>Unité</t>
  </si>
  <si>
    <t>ELECTRICITY_COST_AVG</t>
  </si>
  <si>
    <t>Costo de Electricidad (Promedio)</t>
  </si>
  <si>
    <t>Custo de Eletricidade (Média)</t>
  </si>
  <si>
    <t>Coût de l'Électricité (Moyenne)</t>
  </si>
  <si>
    <t>DESIGN_COIL_LOAD</t>
  </si>
  <si>
    <t>Design Coil Load</t>
  </si>
  <si>
    <t>Carga de Diseño de la Serpentina</t>
  </si>
  <si>
    <t>Carga de Projeto da Serpentina</t>
  </si>
  <si>
    <t>Charge de Conception de la Batterie</t>
  </si>
  <si>
    <t>NUMBER_OF_COILS</t>
  </si>
  <si>
    <t>Número de Serpentinas</t>
  </si>
  <si>
    <t>Nombre de Batteries</t>
  </si>
  <si>
    <t>OPERATING_HOURS_DAY</t>
  </si>
  <si>
    <t>Horas de Operación / Día</t>
  </si>
  <si>
    <t>Horas de Operação / Dia</t>
  </si>
  <si>
    <t>Heures de Fonctionnement / Jour</t>
  </si>
  <si>
    <t>OPERATING_DAYS_WEEK</t>
  </si>
  <si>
    <t>Días de Operación / Semana</t>
  </si>
  <si>
    <t>Dias de Operação / Semana</t>
  </si>
  <si>
    <t>Jours de Fonctionnement / Semaine</t>
  </si>
  <si>
    <t>OPERATING_WEEKS_YEAR</t>
  </si>
  <si>
    <t>Semanas de Operación / Año</t>
  </si>
  <si>
    <t>Semanas de Operação / Ano</t>
  </si>
  <si>
    <t>Semaines de Fonctionnement / An</t>
  </si>
  <si>
    <t>ACTUAL_PRIMARY_PUMP_HEAD</t>
  </si>
  <si>
    <t>Altura Real de la Bomba Primaria (Diseño)</t>
  </si>
  <si>
    <t>Altura Real da Bomba Primária (Projeto)</t>
  </si>
  <si>
    <t>Hauteur Réelle de la Pompe Primaire (Conception)</t>
  </si>
  <si>
    <t>PUMP_VFD_MOTOR_EFFICIENCY</t>
  </si>
  <si>
    <t>Eficiencia de Bomba, VFD, Motor (Promedio)</t>
  </si>
  <si>
    <t>Eficiência de Bomba, VFD, Motor (Média)</t>
  </si>
  <si>
    <t>Rendement Pompe, VFD, Moteur (Moyenne)</t>
  </si>
  <si>
    <t>DESIGN_DELTA_T</t>
  </si>
  <si>
    <t>Delta T de Diseño</t>
  </si>
  <si>
    <t>Delta T de Projeto</t>
  </si>
  <si>
    <t>Delta T de Conception</t>
  </si>
  <si>
    <t>ACTUAL_DELTA_T</t>
  </si>
  <si>
    <t>Delta T Real (Antes de la Instalación de Energy Valve)</t>
  </si>
  <si>
    <t>Delta T Real (Antes da Instalação do Energy Valve)</t>
  </si>
  <si>
    <t>Delta T Réel (Avant l'Installation de l'Energy Valve)</t>
  </si>
  <si>
    <t>FUTURE_DELTA_T</t>
  </si>
  <si>
    <t>Delta T Futuro (Configuración del Gestor de Delta T de Energy Valve)</t>
  </si>
  <si>
    <t>Delta T Futuro (Configuração do Gerenciador de Delta T do Energy Valve)</t>
  </si>
  <si>
    <t>Delta T Futur (Réglage du Gestionnaire Delta T de l'Energy Valve)</t>
  </si>
  <si>
    <t>EDITABLE_FIELD</t>
  </si>
  <si>
    <t>Campo Editable</t>
  </si>
  <si>
    <t>Campo Editável</t>
  </si>
  <si>
    <t>Champ Modifiable</t>
  </si>
  <si>
    <t>LABEL_WORD</t>
  </si>
  <si>
    <t>Etiqueta</t>
  </si>
  <si>
    <t>Rótulo</t>
  </si>
  <si>
    <t>Étiquette</t>
  </si>
  <si>
    <t>ANNUAL_OPERATING_HOURS</t>
  </si>
  <si>
    <t>Horas de Operación Anuales</t>
  </si>
  <si>
    <t>Horas de Operação Anuais</t>
  </si>
  <si>
    <t>Heures de Fonctionnement Annuelles</t>
  </si>
  <si>
    <t>CLIMATE_REGION</t>
  </si>
  <si>
    <t>Región Climática</t>
  </si>
  <si>
    <t>Região Climática</t>
  </si>
  <si>
    <t>Région Climatique</t>
  </si>
  <si>
    <t>POINT_WORD</t>
  </si>
  <si>
    <t>Punto</t>
  </si>
  <si>
    <t>Ponto</t>
  </si>
  <si>
    <t>BIN_WORD</t>
  </si>
  <si>
    <t>Intervalo</t>
  </si>
  <si>
    <t>Faixa</t>
  </si>
  <si>
    <t>Plage</t>
  </si>
  <si>
    <t>LOAD_WORD</t>
  </si>
  <si>
    <t>Carga</t>
  </si>
  <si>
    <t>Charge</t>
  </si>
  <si>
    <t>PCT_OF_OPERATING_TIME</t>
  </si>
  <si>
    <t>% del Tiempo de Operación</t>
  </si>
  <si>
    <t>% do Tempo de Operação</t>
  </si>
  <si>
    <t>% du Temps de Fonctionnement</t>
  </si>
  <si>
    <t>OPERATING_HOURS_HDR</t>
  </si>
  <si>
    <t>Horas de Operación</t>
  </si>
  <si>
    <t>Horas de Operação</t>
  </si>
  <si>
    <t>Heures de Fonctionnement</t>
  </si>
  <si>
    <t>BIN_DESIGN</t>
  </si>
  <si>
    <t>Diseño</t>
  </si>
  <si>
    <t>Projeto</t>
  </si>
  <si>
    <t>Conception</t>
  </si>
  <si>
    <t>BIN_PEAK</t>
  </si>
  <si>
    <t>Pico</t>
  </si>
  <si>
    <t>Pointe</t>
  </si>
  <si>
    <t>BIN_LOW</t>
  </si>
  <si>
    <t>Bajo</t>
  </si>
  <si>
    <t>Baixo</t>
  </si>
  <si>
    <t>Bas</t>
  </si>
  <si>
    <t>BIN_MIN</t>
  </si>
  <si>
    <t>Mín</t>
  </si>
  <si>
    <t>COOLING_DEGREE_DAYS</t>
  </si>
  <si>
    <t>Días Grado de Enfriamiento</t>
  </si>
  <si>
    <t>Graus-Dia de Resfriamento</t>
  </si>
  <si>
    <t>Degrés-Jours de Refroidissement</t>
  </si>
  <si>
    <t>HUMIDITY_ADJUSTMENT</t>
  </si>
  <si>
    <t>Ajuste de Humedad</t>
  </si>
  <si>
    <t>Ajuste de Umidade</t>
  </si>
  <si>
    <t>Ajustement de l'Humidité</t>
  </si>
  <si>
    <t>MULTIPLIER_WORD</t>
  </si>
  <si>
    <t>Multiplicador</t>
  </si>
  <si>
    <t>Multiplicateur</t>
  </si>
  <si>
    <t>SELECTED_VALUE</t>
  </si>
  <si>
    <t>Valor Seleccionado</t>
  </si>
  <si>
    <t>Valor Selecionado</t>
  </si>
  <si>
    <t>Valeur Sélectionnée</t>
  </si>
  <si>
    <t>REGION_NORTH_EAST</t>
  </si>
  <si>
    <t>Noreste</t>
  </si>
  <si>
    <t>Nordeste</t>
  </si>
  <si>
    <t>Nord-Est</t>
  </si>
  <si>
    <t>REGION_CENTRAL</t>
  </si>
  <si>
    <t>Centre</t>
  </si>
  <si>
    <t>REGION_EAST_NORTH_CENTRAL</t>
  </si>
  <si>
    <t>Centro-Norte Este</t>
  </si>
  <si>
    <t>Centro-Norte Leste</t>
  </si>
  <si>
    <t>Centre-Nord Est</t>
  </si>
  <si>
    <t>REGION_WEST_NORTH_CENTRAL</t>
  </si>
  <si>
    <t>Centro-Norte Oeste</t>
  </si>
  <si>
    <t>Centre-Nord Ouest</t>
  </si>
  <si>
    <t>REGION_SOUTH_EAST</t>
  </si>
  <si>
    <t>Sureste</t>
  </si>
  <si>
    <t>Sudeste</t>
  </si>
  <si>
    <t>Sud-Est</t>
  </si>
  <si>
    <t>REGION_SOUTH</t>
  </si>
  <si>
    <t>Sur</t>
  </si>
  <si>
    <t>Sul</t>
  </si>
  <si>
    <t>Sud</t>
  </si>
  <si>
    <t>REGION_SOUTH_WEST</t>
  </si>
  <si>
    <t>South West</t>
  </si>
  <si>
    <t>Suroeste</t>
  </si>
  <si>
    <t>Sudoeste</t>
  </si>
  <si>
    <t>Sud-Ouest</t>
  </si>
  <si>
    <t>REGION_MOUNTAIN</t>
  </si>
  <si>
    <t>Montaña</t>
  </si>
  <si>
    <t>Montanha</t>
  </si>
  <si>
    <t>Montagne</t>
  </si>
  <si>
    <t>REGION_NORTH_WEST</t>
  </si>
  <si>
    <t>Noroeste</t>
  </si>
  <si>
    <t>Nord-Ouest</t>
  </si>
  <si>
    <t>REGION_WEST</t>
  </si>
  <si>
    <t>West</t>
  </si>
  <si>
    <t>Oeste</t>
  </si>
  <si>
    <t>Ouest</t>
  </si>
  <si>
    <t>REGION_CUSTOM</t>
  </si>
  <si>
    <t>Región Personalizada</t>
  </si>
  <si>
    <t>Região Personalizada</t>
  </si>
  <si>
    <t>Région Personnalisée</t>
  </si>
  <si>
    <t>REGION_AVERAGE_US</t>
  </si>
  <si>
    <t>Promedio EE.UU.</t>
  </si>
  <si>
    <t>Média EUA</t>
  </si>
  <si>
    <t>Moyenne É.-U.</t>
  </si>
  <si>
    <t>English</t>
  </si>
  <si>
    <t>Ingrese el número de serpentinas que controla la válvula. ** Próximo Lanzamiento **</t>
  </si>
  <si>
    <t>Insira o número de serpentinas controladas pela válvula. ** Lançamento Futuro **</t>
  </si>
  <si>
    <t>Saisissez le nombre de batteries contrôlées par la vanne. ** Version Future **</t>
  </si>
  <si>
    <t>Si no conoce el % de eficiencia de la bomba, un valor seguro es 70 - 80 por ciento.</t>
  </si>
  <si>
    <t>Se você não souber a eficiência da bomba em %, um valor seguro é 70 - 80 por cento.</t>
  </si>
  <si>
    <t>Si vous ne connaissez pas le rendement de la pompe en %, une valeur sûre est de 70 à 80 %.</t>
  </si>
  <si>
    <t>cálculo según la EPA www.epa.gov</t>
  </si>
  <si>
    <t>cálculo de acordo com a EPA www.epa.gov</t>
  </si>
  <si>
    <t>calcul selon l'EPA www.epa.gov</t>
  </si>
  <si>
    <t>basado en un consumo anual de 12,258 kWh por hogar según la EPA www.epa.gov</t>
  </si>
  <si>
    <t>com base no consumo anual de 12.258 kWh por residência, segundo a EPA www.epa.gov</t>
  </si>
  <si>
    <t>basé sur une consommation annuelle de 12 258 kWh par foyer selon l'EPA www.epa.gov</t>
  </si>
  <si>
    <t>Factor de Diseño de la Bomba - Ingrese el porcentaje de bombeo adicional disponible debido al sobredimensionamiento o diseño futuro.</t>
  </si>
  <si>
    <t>Fator de Projeto da Bomba - Insira a porcentagem de bombeamento adicional disponível devido ao sobredimensionamento ou projeto futuro.</t>
  </si>
  <si>
    <t>Facteur de Conception de la Pompe - Saisissez le pourcentage de pompage supplémentaire disponible en raison du surdimensionnement ou de la conception future.</t>
  </si>
  <si>
    <t>Valor de Flujo Mínimo * Función Futura *</t>
  </si>
  <si>
    <t>Valor de Vazão Mínima * Recurso Futuro *</t>
  </si>
  <si>
    <t>Valeur de Débit Minimum * Fonctionnalité Future *</t>
  </si>
  <si>
    <t>Use la barra deslizante para cambiar los resultados de ahorro de DeltaT en 2 grados</t>
  </si>
  <si>
    <t>Use a barra deslizante para alterar os resultados de economia de DeltaT em 2 graus</t>
  </si>
  <si>
    <t>Utilisez le curseur pour modifier les résultats d'économies DeltaT de 2 degrés</t>
  </si>
  <si>
    <t>Español</t>
  </si>
  <si>
    <t>Português</t>
  </si>
  <si>
    <t>Français</t>
  </si>
  <si>
    <t>ANNUAL_GAL</t>
  </si>
  <si>
    <t>PUMP_COSTS_LOWER</t>
  </si>
  <si>
    <t>Costos de bombeo</t>
  </si>
  <si>
    <t>Custos de bombeamento</t>
  </si>
  <si>
    <t>Coûts de pompage</t>
  </si>
  <si>
    <t>FLOW_GPM_HDR</t>
  </si>
  <si>
    <t>HEAD_FT_HDR</t>
  </si>
  <si>
    <t>POWER_HP_HDR</t>
  </si>
  <si>
    <t>POWER_KW_HDR</t>
  </si>
  <si>
    <t>Potencia [kW]</t>
  </si>
  <si>
    <t>Potência [kW]</t>
  </si>
  <si>
    <t>Puissance [kW]</t>
  </si>
  <si>
    <t>ENERGY_KWH_HDR</t>
  </si>
  <si>
    <t>Energía [kWh]</t>
  </si>
  <si>
    <t>Energia [kWh]</t>
  </si>
  <si>
    <t>Énergie [kWh]</t>
  </si>
  <si>
    <t>LOAD_PCT_HDR</t>
  </si>
  <si>
    <t>Carga [%]</t>
  </si>
  <si>
    <t>Charge [%]</t>
  </si>
  <si>
    <t>TIME_PCT_HDR</t>
  </si>
  <si>
    <t>Tiempo [%]</t>
  </si>
  <si>
    <t>Tempo [%]</t>
  </si>
  <si>
    <t>Temps [%]</t>
  </si>
  <si>
    <t>TIME_H_HDR</t>
  </si>
  <si>
    <t>Tiempo [h]</t>
  </si>
  <si>
    <t>Tempo [h]</t>
  </si>
  <si>
    <t>Temps [h]</t>
  </si>
  <si>
    <t>BTU_H_HDR</t>
  </si>
  <si>
    <t>AVG_GPM</t>
  </si>
  <si>
    <t>BTU_H_SLASH</t>
  </si>
  <si>
    <t>INCREASE_WORD</t>
  </si>
  <si>
    <t>Aumento</t>
  </si>
  <si>
    <t>Augmentation</t>
  </si>
  <si>
    <t>ADDITIONAL_TRAIL</t>
  </si>
  <si>
    <t xml:space="preserve">Adicional </t>
  </si>
  <si>
    <t xml:space="preserve">Supplémentaire </t>
  </si>
  <si>
    <t>ADDITONAL_TYPO</t>
  </si>
  <si>
    <t>Adicional</t>
  </si>
  <si>
    <t>Supplémentaire</t>
  </si>
  <si>
    <t>AS_PCT_OF_DESIGN</t>
  </si>
  <si>
    <t>Como % del Diseño</t>
  </si>
  <si>
    <t>Como % do Projeto</t>
  </si>
  <si>
    <t>En % de la Conception</t>
  </si>
  <si>
    <t>IN_GPM</t>
  </si>
  <si>
    <t>GAL_PUMPED</t>
  </si>
  <si>
    <t>PUMP_COSTS_TITLE</t>
  </si>
  <si>
    <t>Costos de Bombeo</t>
  </si>
  <si>
    <t>Custos de Bombeamento</t>
  </si>
  <si>
    <t>Coûts de Pompage</t>
  </si>
  <si>
    <t>CHILLED_WATER_COIL_FLOW_AT_DT</t>
  </si>
  <si>
    <t>PUMP_DESIGN_FACTOR</t>
  </si>
  <si>
    <t>Factor de Diseño de la Bomba</t>
  </si>
  <si>
    <t>Fator de Projeto da Bomba</t>
  </si>
  <si>
    <t>Facteur de Conception de la Pompe</t>
  </si>
  <si>
    <t>MAX_FLOW_RATE</t>
  </si>
  <si>
    <t>Caudal Máximo</t>
  </si>
  <si>
    <t>Vazão Máxima</t>
  </si>
  <si>
    <t>Débit Maximum</t>
  </si>
  <si>
    <t>MINIMUM_PUMP_HEAD</t>
  </si>
  <si>
    <t>Altura Mínima de la Bomba</t>
  </si>
  <si>
    <t>Altura Mínima da Bomba</t>
  </si>
  <si>
    <t>Hauteur Minimale de la Pompe</t>
  </si>
  <si>
    <t>DESIGN_CHW_COIL_FLOW_VMAX</t>
  </si>
  <si>
    <t>Caudal de Diseño de la Serpentina de Agua Fría [V'max]</t>
  </si>
  <si>
    <t>Vazão de Projeto da Serpentina de Água Gelada [V'max]</t>
  </si>
  <si>
    <t>Débit de Conception de la Batterie d'Eau Glacée [V'max]</t>
  </si>
  <si>
    <t>DESIGN_CHW_COIL_DT</t>
  </si>
  <si>
    <t>Design Chilled Water Coil ΔT</t>
  </si>
  <si>
    <t>ΔT de Diseño de la Serpentina de Agua Fría</t>
  </si>
  <si>
    <t>ΔT de Projeto da Serpentina de Água Gelada</t>
  </si>
  <si>
    <t>ΔT de Conception de la Batterie d'Eau Glacée</t>
  </si>
  <si>
    <t>DESIGN_CHW_COIL_TONNAGE</t>
  </si>
  <si>
    <t>DESIGN_CHW_COIL_BTUH</t>
  </si>
  <si>
    <t>ENERGY_VALVE_MODEL</t>
  </si>
  <si>
    <t xml:space="preserve">Modelo de Energy Valve </t>
  </si>
  <si>
    <t xml:space="preserve">Modèle d'Energy Valve </t>
  </si>
  <si>
    <t>CHW_COIL_FLOWS_AT_DIFFERENT_DT</t>
  </si>
  <si>
    <t>EFFECTS_OF_LOW_DT_VS_DESIGN</t>
  </si>
  <si>
    <t>Effects of Low ΔT vs Design</t>
  </si>
  <si>
    <t>Efectos de ΔT Bajo vs. Diseño</t>
  </si>
  <si>
    <t>Efeitos de ΔT Baixo vs. Projeto</t>
  </si>
  <si>
    <t>Effets d'un ΔT Faible vs Conception</t>
  </si>
  <si>
    <t>TOTAL_ANNUAL</t>
  </si>
  <si>
    <t>Total Anual</t>
  </si>
  <si>
    <t>Total Annuel</t>
  </si>
  <si>
    <t>GALLONS_WORD</t>
  </si>
  <si>
    <t>Galones</t>
  </si>
  <si>
    <t>Galões</t>
  </si>
  <si>
    <t>AVG_GPM_BRACKET</t>
  </si>
  <si>
    <t>Avg [GPM]</t>
  </si>
  <si>
    <t>Prom. [GPM]</t>
  </si>
  <si>
    <t>Méd. [GPM]</t>
  </si>
  <si>
    <t>Moy. [GPM]</t>
  </si>
  <si>
    <t>AVG_TONS_BRACKET</t>
  </si>
  <si>
    <t>Prom. [Tons]</t>
  </si>
  <si>
    <t>Méd. [Tons]</t>
  </si>
  <si>
    <t>Moy. [Tons]</t>
  </si>
  <si>
    <t>PUMPING_COST</t>
  </si>
  <si>
    <t>Costo de Bombeo</t>
  </si>
  <si>
    <t>Custo de Bombeamento</t>
  </si>
  <si>
    <t>Coût de Pompage</t>
  </si>
  <si>
    <t>ANNUAL_GALLONS_FULL</t>
  </si>
  <si>
    <t>Galones Anuales</t>
  </si>
  <si>
    <t>Galões Anuais</t>
  </si>
  <si>
    <t>Gallons Annuels</t>
  </si>
  <si>
    <t>CALC_ANNUAL_SAVINGS_SLIDER</t>
  </si>
  <si>
    <t>Calcule el Ahorro Anual Cambiando el DeltaT con el control deslizante</t>
  </si>
  <si>
    <t>Calcule a Economia Anual Alterando o DeltaT com o controle deslizante</t>
  </si>
  <si>
    <t>Calculez les Économies Annuelles en Modifiant le DeltaT avec le curseur</t>
  </si>
  <si>
    <t>FROM_WORD</t>
  </si>
  <si>
    <t>Desde</t>
  </si>
  <si>
    <t>De</t>
  </si>
  <si>
    <t>TO_WORD</t>
  </si>
  <si>
    <t>Hasta</t>
  </si>
  <si>
    <t>Até</t>
  </si>
  <si>
    <t>À</t>
  </si>
  <si>
    <t>ANNUAL_CO2_AVOIDED</t>
  </si>
  <si>
    <t>Dióxido de Carbono Anual Evitado</t>
  </si>
  <si>
    <t>Dioxyde de Carbone Annuel Évité</t>
  </si>
  <si>
    <t>POUNDS_WORD</t>
  </si>
  <si>
    <t>libras</t>
  </si>
  <si>
    <t>livres</t>
  </si>
  <si>
    <t>TREE_SEEDLINGS_10YR</t>
  </si>
  <si>
    <t>Número de Plántulas de Árboles Cultivadas durante 10 Años</t>
  </si>
  <si>
    <t>Número de Mudas de Árvores Cultivadas por 10 Anos</t>
  </si>
  <si>
    <t>Nombre de Semis d'Arbres Cultivés pendant 10 Ans</t>
  </si>
  <si>
    <t>TREE_SEEDLINGS_UNIT</t>
  </si>
  <si>
    <t>plántulas de árboles</t>
  </si>
  <si>
    <t>mudas de árvores</t>
  </si>
  <si>
    <t>semis d'arbres</t>
  </si>
  <si>
    <t>EQUIV_HOMES_ELECTRICITY</t>
  </si>
  <si>
    <t>Equivalente al Uso Eléctrico Anual de un Número de Viviendas</t>
  </si>
  <si>
    <t>Equivalente ao Uso de Eletricidade Anual de um Número de Residências</t>
  </si>
  <si>
    <t>Équivalent à la Consommation Électrique Annuelle d'un Nombre de Foyers</t>
  </si>
  <si>
    <t>HOMES_WORD</t>
  </si>
  <si>
    <t>hogares</t>
  </si>
  <si>
    <t>residências</t>
  </si>
  <si>
    <t>foyers</t>
  </si>
  <si>
    <t>DELTA_T_F_HDR</t>
  </si>
  <si>
    <t>Delta-T [F]</t>
  </si>
  <si>
    <t>BASED_ON_VMAX_SUFFIX</t>
  </si>
  <si>
    <t>* based on V'max</t>
  </si>
  <si>
    <t>* según V'max</t>
  </si>
  <si>
    <t>* baseado em V'max</t>
  </si>
  <si>
    <t>* basé sur V'max</t>
  </si>
  <si>
    <t>ANNUAL_SAVINGS_CHANGING_DT_PREFIX</t>
  </si>
  <si>
    <t xml:space="preserve">Annual Energy Savings for 
changing Delta T from </t>
  </si>
  <si>
    <t xml:space="preserve">Ahorro Anual de Energía al 
cambiar el Delta T de </t>
  </si>
  <si>
    <t xml:space="preserve">Economia Anual de Energia ao 
alterar o Delta T de </t>
  </si>
  <si>
    <t xml:space="preserve">Économies d'Énergie Annuelles en 
changeant le Delta T de </t>
  </si>
  <si>
    <t>DT_TO_MID</t>
  </si>
  <si>
    <t xml:space="preserve"> to </t>
  </si>
  <si>
    <t xml:space="preserve"> a </t>
  </si>
  <si>
    <t xml:space="preserve"> para </t>
  </si>
  <si>
    <t xml:space="preserve"> à </t>
  </si>
  <si>
    <t>USED_TO_CALC_PROJECTED_FLOW</t>
  </si>
  <si>
    <t>Usado para Calcular el Caudal Proyectado</t>
  </si>
  <si>
    <t>Usado para Calcular a Vazão Projetada</t>
  </si>
  <si>
    <t>Utilisé pour Calculer le Débit Projeté</t>
  </si>
  <si>
    <t>USED_FOR_CHARTS</t>
  </si>
  <si>
    <t>Usado para Gráficos</t>
  </si>
  <si>
    <t>Utilisé pour les Graphiques</t>
  </si>
  <si>
    <t>DDC_CONTROL_SIGNAL</t>
  </si>
  <si>
    <t>Señal de Control DDC</t>
  </si>
  <si>
    <t>Sinal de Controle DDC</t>
  </si>
  <si>
    <t>Signal de Contrôle DDC</t>
  </si>
  <si>
    <t>VALVE_POSITION_FLOW_BASED_ON_DDC</t>
  </si>
  <si>
    <t>Posición de Válvula y Caudal según Voltaje DDC</t>
  </si>
  <si>
    <t>Posição da Válvula e Vazão com base na Tensão DDC</t>
  </si>
  <si>
    <t>Position de la Vanne et Débit selon la Tension DDC</t>
  </si>
  <si>
    <t>VOLTAGE_WORD</t>
  </si>
  <si>
    <t>Voltaje</t>
  </si>
  <si>
    <t>Tensão</t>
  </si>
  <si>
    <t>Tension</t>
  </si>
  <si>
    <t>LINEAR_PART</t>
  </si>
  <si>
    <t>Parte Lineal</t>
  </si>
  <si>
    <t>Parte Linear</t>
  </si>
  <si>
    <t>Partie Linéaire</t>
  </si>
  <si>
    <t>EQUAL_PART</t>
  </si>
  <si>
    <t>Parte Igual</t>
  </si>
  <si>
    <t>Partie Égale</t>
  </si>
  <si>
    <t>VMAX_WORD</t>
  </si>
  <si>
    <t>DELTA_T_WORD</t>
  </si>
  <si>
    <t>ΔT</t>
  </si>
  <si>
    <t>BTUH_WORD</t>
  </si>
  <si>
    <t>LINEAR_WORD</t>
  </si>
  <si>
    <t>Lineal</t>
  </si>
  <si>
    <t>Linéaire</t>
  </si>
  <si>
    <t>EQ_PCT_SPACE</t>
  </si>
  <si>
    <t>EQ_PCT_NOSPACE</t>
  </si>
  <si>
    <t>IN_PCT</t>
  </si>
  <si>
    <t>En %</t>
  </si>
  <si>
    <t>Em %</t>
  </si>
  <si>
    <t>IN_V</t>
  </si>
  <si>
    <t>En V</t>
  </si>
  <si>
    <t>Em V</t>
  </si>
  <si>
    <t>G_MIN</t>
  </si>
  <si>
    <t>BTU_H_SLASH_LOWER</t>
  </si>
  <si>
    <t>PROJECTED_FLOW_CALCULATIONS</t>
  </si>
  <si>
    <t>Cálculos de Caudal Proyectado</t>
  </si>
  <si>
    <t>Cálculos de Vazão Projetada</t>
  </si>
  <si>
    <t>Calculs du Débit Projeté</t>
  </si>
  <si>
    <t>EXAMPLE_WORD</t>
  </si>
  <si>
    <t>Ejemplo:</t>
  </si>
  <si>
    <t>Exemplo:</t>
  </si>
  <si>
    <t>Exemple :</t>
  </si>
  <si>
    <t>HINT_REFER_TO_THE</t>
  </si>
  <si>
    <t xml:space="preserve">Sugerencia: Consulte las </t>
  </si>
  <si>
    <t xml:space="preserve">Dica: Consulte as </t>
  </si>
  <si>
    <t xml:space="preserve">Astuce : Consultez les </t>
  </si>
  <si>
    <t>BLUE_WORD</t>
  </si>
  <si>
    <t>Azul</t>
  </si>
  <si>
    <t>Bleu</t>
  </si>
  <si>
    <t>COLUMNS_WORD</t>
  </si>
  <si>
    <t>Columnas</t>
  </si>
  <si>
    <t>Colunas</t>
  </si>
  <si>
    <t>Colonnes</t>
  </si>
  <si>
    <t>ENERGY_VALVE_VMAX_PREFIX</t>
  </si>
  <si>
    <t xml:space="preserve">An Energy Valve with a V'max of </t>
  </si>
  <si>
    <t xml:space="preserve">Una Energy Valve con un V'max de </t>
  </si>
  <si>
    <t xml:space="preserve">Uma Energy Valve com um V'max de </t>
  </si>
  <si>
    <t xml:space="preserve">Une Energy Valve avec un V'max de </t>
  </si>
  <si>
    <t>AT_X_VOLTS_PREFIX</t>
  </si>
  <si>
    <t xml:space="preserve">At </t>
  </si>
  <si>
    <t xml:space="preserve">A </t>
  </si>
  <si>
    <t xml:space="preserve">À </t>
  </si>
  <si>
    <t>VOLTS_YOU_WOULD_BE_FLOWING</t>
  </si>
  <si>
    <t xml:space="preserve"> volts, you would be flowing </t>
  </si>
  <si>
    <t xml:space="preserve"> voltios, estaría fluyendo </t>
  </si>
  <si>
    <t xml:space="preserve"> volts, estaria fluindo </t>
  </si>
  <si>
    <t xml:space="preserve"> volts, vous auriez un débit de </t>
  </si>
  <si>
    <t>VALVE_OPENING_SUFFIX</t>
  </si>
  <si>
    <t xml:space="preserve"> Valve Opening</t>
  </si>
  <si>
    <t xml:space="preserve"> de Apertura de Válvula</t>
  </si>
  <si>
    <t xml:space="preserve"> de Abertura da Válvula</t>
  </si>
  <si>
    <t xml:space="preserve"> d'Ouverture de Vanne</t>
  </si>
  <si>
    <t>PRODUCING_PREFIX</t>
  </si>
  <si>
    <t xml:space="preserve">Producing </t>
  </si>
  <si>
    <t xml:space="preserve">Produciendo </t>
  </si>
  <si>
    <t xml:space="preserve">Produzindo </t>
  </si>
  <si>
    <t xml:space="preserve">Produisant </t>
  </si>
  <si>
    <t>BTUS_AT_A_MID</t>
  </si>
  <si>
    <t xml:space="preserve"> btu's at a </t>
  </si>
  <si>
    <t xml:space="preserve"> btu's a un </t>
  </si>
  <si>
    <t xml:space="preserve"> btu's a um </t>
  </si>
  <si>
    <t xml:space="preserve"> btu's à un </t>
  </si>
  <si>
    <t>DELTAT_SUFFIX</t>
  </si>
  <si>
    <t xml:space="preserve"> DeltaT</t>
  </si>
  <si>
    <t>CHART1_TITLE</t>
  </si>
  <si>
    <t>DDC to GPM to BTU/h</t>
  </si>
  <si>
    <t>DDC a GPM a BTU/h</t>
  </si>
  <si>
    <t>DDC para GPM para BTU/h</t>
  </si>
  <si>
    <t>DDC vers GPM vers BTU/h</t>
  </si>
  <si>
    <t>CHART1_XTITLE</t>
  </si>
  <si>
    <t>DDC Input Voltage</t>
  </si>
  <si>
    <t>Voltaje de Entrada DDC</t>
  </si>
  <si>
    <t>Tensão de Entrada DDC</t>
  </si>
  <si>
    <t>Tension d'Entrée DDC</t>
  </si>
  <si>
    <t>CHART_YTITLE_GPM</t>
  </si>
  <si>
    <t>GPM</t>
  </si>
  <si>
    <t>CHART2_TITLE</t>
  </si>
  <si>
    <t xml:space="preserve"> % Open to GPM</t>
  </si>
  <si>
    <t xml:space="preserve"> % Abierto a GPM</t>
  </si>
  <si>
    <t xml:space="preserve"> % Aberto a GPM</t>
  </si>
  <si>
    <t xml:space="preserve"> % Ouvert à GPM</t>
  </si>
  <si>
    <t>CHART2_XTITLE</t>
  </si>
  <si>
    <t>% of Valve Open</t>
  </si>
  <si>
    <t>% de Apertura de Válvula</t>
  </si>
  <si>
    <t>% de Abertura da Válvula</t>
  </si>
  <si>
    <t>% d'Ouverture de Vanne</t>
  </si>
  <si>
    <t>CHART5_TITLE</t>
  </si>
  <si>
    <t>DDC to GPM</t>
  </si>
  <si>
    <t>DDC a GPM</t>
  </si>
  <si>
    <t>DDC para GPM</t>
  </si>
  <si>
    <t>DDC vers GPM</t>
  </si>
  <si>
    <t>CHART5_XTITLE</t>
  </si>
  <si>
    <t>DDC Control Voltage</t>
  </si>
  <si>
    <t>Voltaje de Control DDC</t>
  </si>
  <si>
    <t>Tensão de Controle DDC</t>
  </si>
  <si>
    <t>Tension de Contrôle DDC</t>
  </si>
  <si>
    <t>CHART6_TITLE</t>
  </si>
  <si>
    <t>GPM to BTU Linear</t>
  </si>
  <si>
    <t>GPM a BTU Lineal</t>
  </si>
  <si>
    <t>GPM para BTU Linear</t>
  </si>
  <si>
    <t>GPM vers BTU Linéaire</t>
  </si>
  <si>
    <t>METRIC_PANEL_TITLE</t>
  </si>
  <si>
    <t>Metric Equivalents</t>
  </si>
  <si>
    <t>Equivalentes Métricos</t>
  </si>
  <si>
    <t>Équivalents Métriques</t>
  </si>
  <si>
    <t>METRIC_FLOW_HDR</t>
  </si>
  <si>
    <t>METRIC_HEAD_HDR</t>
  </si>
  <si>
    <t>Head [kPa]</t>
  </si>
  <si>
    <t>Altura [kPa]</t>
  </si>
  <si>
    <t>Hauteur [kPa]</t>
  </si>
  <si>
    <t>BANNER_TITLE</t>
  </si>
  <si>
    <t>Belimo Energy Valve
Coil ΔT Savings Estimator</t>
  </si>
  <si>
    <t>Belimo Energy Valve
Estimador de Ahorros ΔT de Serpentina</t>
  </si>
  <si>
    <t>Belimo Energy Valve
Estimador de Economia ΔT da Serpentina</t>
  </si>
  <si>
    <t>Belimo Energy Valve
Estimateur d'Économies ΔT de Batterie</t>
  </si>
  <si>
    <t>HOME_HDR_COIL_DESIGN</t>
  </si>
  <si>
    <t>Coil Design Input Data</t>
  </si>
  <si>
    <t>Datos de Entrada de Diseño de la Serpentina</t>
  </si>
  <si>
    <t>Dados de Entrada de Projeto da Serpentina</t>
  </si>
  <si>
    <t>Données d'Entrée de Conception de la Batterie</t>
  </si>
  <si>
    <t>HOME_HDR_OPERATING_TIME</t>
  </si>
  <si>
    <t>Operating Time Input Data</t>
  </si>
  <si>
    <t>Datos de Entrada de Tiempo de Operación</t>
  </si>
  <si>
    <t>Dados de Entrada de Tempo de Operação</t>
  </si>
  <si>
    <t>Données d'Entrée de Temps de Fonctionnement</t>
  </si>
  <si>
    <t>HOME_HDR_CLIMATE_REGION</t>
  </si>
  <si>
    <t>Climate Region Degree Day Input Data</t>
  </si>
  <si>
    <t>Datos de Entrada de Días Grado de la Región Climática</t>
  </si>
  <si>
    <t>Dados de Entrada de Graus-Dia da Região Climática</t>
  </si>
  <si>
    <t>Données d'Entrée des Degrés-Jours de la Région Climatique</t>
  </si>
  <si>
    <t>STEP_1</t>
  </si>
  <si>
    <t>Step 1</t>
  </si>
  <si>
    <t>Paso 1</t>
  </si>
  <si>
    <t>Passo 1</t>
  </si>
  <si>
    <t>Étape 1</t>
  </si>
  <si>
    <t>STEP_2</t>
  </si>
  <si>
    <t>Step 2</t>
  </si>
  <si>
    <t>Paso 2</t>
  </si>
  <si>
    <t>Passo 2</t>
  </si>
  <si>
    <t>Étape 2</t>
  </si>
  <si>
    <t>STEP_3</t>
  </si>
  <si>
    <t>Step 3</t>
  </si>
  <si>
    <t>Paso 3</t>
  </si>
  <si>
    <t>Passo 3</t>
  </si>
  <si>
    <t>Étape 3</t>
  </si>
  <si>
    <t>STEP_4</t>
  </si>
  <si>
    <t>Step 4</t>
  </si>
  <si>
    <t>Paso 4</t>
  </si>
  <si>
    <t>Passo 4</t>
  </si>
  <si>
    <t>Étape 4</t>
  </si>
  <si>
    <t>STEP1_HELP_TEXT</t>
  </si>
  <si>
    <t>Enter into the boxes on the left, the:
Electric Costs
Coil Design GPM
Operating Hours
Pump Head
Motor Efficiency
DeltaT's</t>
  </si>
  <si>
    <t>Ingrese en los recuadros de la izquierda, lo siguiente:
Costos Eléctricos
GPM de Diseño de la Serpentina
Horas de Operación
Altura de la Bomba
Eficiencia del Motor
DeltaT's</t>
  </si>
  <si>
    <t>Insira nas caixas à esquerda, o seguinte:
Custos Elétricos
GPM de Projeto da Serpentina
Horas de Operação
Altura da Bomba
Eficiência do Motor
DeltaT's</t>
  </si>
  <si>
    <t>Entrez dans les cases à gauche, les :
Coûts Électriques
GPM de Conception de la Batterie
Heures de Fonctionnement
Hauteur de la Pompe
Rendement du Moteur
DeltaT's</t>
  </si>
  <si>
    <t>STEP2_HELP_TEXT</t>
  </si>
  <si>
    <t xml:space="preserve">Enter into the boxes on the left, the:
Climate Region from the drop down box
% of Operating Time
Enter Percentages of operating time.
</t>
  </si>
  <si>
    <t xml:space="preserve">Ingrese en los recuadros de la izquierda, lo siguiente:
Región Climática del menú desplegable
% de Tiempo de Operación
Ingrese los porcentajes de tiempo de operación.
</t>
  </si>
  <si>
    <t xml:space="preserve">Insira nas caixas à esquerda, o seguinte:
Região Climática da caixa suspensa
% do Tempo de Operação
Insira as porcentagens de tempo de operação.
</t>
  </si>
  <si>
    <t xml:space="preserve">Entrez dans les cases à gauche, les :
Région Climatique dans la liste déroulante
% du Temps de Fonctionnement
Entrez les pourcentages de temps de fonctionnement.
</t>
  </si>
  <si>
    <t>STEP3_HELP_TEXT</t>
  </si>
  <si>
    <t xml:space="preserve">Verify your Climate Region or select custom and insert your own value.
</t>
  </si>
  <si>
    <t xml:space="preserve">Verifique su Región Climática o seleccione personalizado e ingrese su propio valor.
</t>
  </si>
  <si>
    <t xml:space="preserve">Verifique sua Região Climática ou selecione personalizado e insira seu próprio valor.
</t>
  </si>
  <si>
    <t xml:space="preserve">Vérifiez votre Région Climatique ou sélectionnez personnalisé et saisissez votre propre valeur.
</t>
  </si>
  <si>
    <t>STEP4_HELP_TEXT</t>
  </si>
  <si>
    <t>DISCLAIMER_HDR</t>
  </si>
  <si>
    <t>Disclaimer</t>
  </si>
  <si>
    <t>Descargo de Responsabilidad</t>
  </si>
  <si>
    <t>Isenção de Responsabilidade</t>
  </si>
  <si>
    <t>Avertissement</t>
  </si>
  <si>
    <t>DISCLAIMER_TEXT</t>
  </si>
  <si>
    <t>This tool is not copyrighted by Belimo Aircontrols (USA), Inc. 
This is strictly an estimating Tool to be used Internally Only.  
Results are dependent upon the accuracy of the data imputed, and does not take into consideration any external factors. The results are designed to look at the effects of pump costs over various DeltaT's for a single coil utilizing standard calculations via Pump Affinity Rules. 
This tool was designed to help answer the following question:
"So...how much will this smart valve save me on this air handler?"</t>
  </si>
  <si>
    <t>Esta herramienta no está protegida por derechos de autor de Belimo Aircontrols (USA), Inc. 
Esta es estrictamente una Herramienta de estimación para uso Interno Únicamente.  
Los resultados dependen de la precisión de los datos ingresados y no toman en cuenta ningún factor externo. Los resultados están diseñados para observar los efectos de los costos de bombeo sobre varios DeltaT's para una sola serpentina utilizando cálculos estándar mediante las Reglas de Afinidad de Bombas. 
Esta herramienta fue diseñada para ayudar a responder la siguiente pregunta:
"Entonces... ¿cuánto me ahorrará esta válvula inteligente en este manejador de aire?"</t>
  </si>
  <si>
    <t>Esta ferramenta não é protegida por direitos autorais da Belimo Aircontrols (USA), Inc. 
Esta é estritamente uma Ferramenta de estimativa para uso Interno Apenas.  
Os resultados dependem da precisão dos dados inseridos e não levam em consideração nenhum fator externo. Os resultados são projetados para observar os efeitos dos custos de bombeamento em vários DeltaT's para uma única serpentina, utilizando cálculos padrão por meio das Regras de Afinidade de Bombas. 
Esta ferramenta foi projetada para ajudar a responder à seguinte pergunta:
"Então... quanto essa válvula inteligente vai me economizar neste climatizador de ar?"</t>
  </si>
  <si>
    <t>Cet outil n'est pas protégé par les droits d'auteur de Belimo Aircontrols (USA), Inc. 
Il s'agit strictement d'un outil d'estimation à usage Interne Uniquement.  
Les résultats dépendent de la précision des données saisies et ne tiennent pas compte de facteurs externes. Les résultats sont conçus pour examiner les effets des coûts de pompage sur divers DeltaT's pour une seule batterie, en utilisant des calculs standard via les Règles d'Affinité des Pompes. 
Cet outil a été conçu pour aider à répondre à la question suivante :
« Alors... combien cette vanne intelligente me fera-t-elle économiser sur ce climatiseur ? »</t>
  </si>
  <si>
    <t>FEEDBACK_HDR</t>
  </si>
  <si>
    <t>Feedback</t>
  </si>
  <si>
    <t>Comentarios</t>
  </si>
  <si>
    <t>Commentaires</t>
  </si>
  <si>
    <t>FEEDBACK_TEXT</t>
  </si>
  <si>
    <t>If you would like to leave feedback on your experience of using the tool or if you have any suggestions to help make the tool even more useful, please use the QR code to the left or just click on the link below.
Energy Valve Coil Estimator Tool Feedback</t>
  </si>
  <si>
    <t>Si desea dejar comentarios sobre su experiencia al usar la herramienta o si tiene alguna sugerencia para ayudar a que la herramienta sea aún más útil, utilice el código QR a la izquierda o simplemente haga clic en el enlace de abajo.
Comentarios sobre la Herramienta Energy Valve Coil Estimator</t>
  </si>
  <si>
    <t>Se você gostaria de deixar um feedback sobre sua experiência ao usar a ferramenta ou se tiver alguma sugestão para tornar a ferramenta ainda mais útil, use o código QR à esquerda ou simplesmente clique no link abaixo.
Feedback da Ferramenta Energy Valve Coil Estimator</t>
  </si>
  <si>
    <t>Si vous souhaitez laisser un commentaire sur votre expérience d'utilisation de l'outil ou si vous avez des suggestions pour rendre l'outil encore plus utile, veuillez utiliser le code QR à gauche ou simplement cliquer sur le lien ci-dessous.
Commentaires sur l'Outil Energy Valve Coil Estimator</t>
  </si>
  <si>
    <t>PS_HDR_ENERGY_VALVE_ESTIMATOR</t>
  </si>
  <si>
    <t>Energy Valve Savings Estimator</t>
  </si>
  <si>
    <t>Estimador de Ahorros de Energy Valve</t>
  </si>
  <si>
    <t>Estimador de Economia do Energy Valve</t>
  </si>
  <si>
    <t>Estimateur d'Économies Energy Valve</t>
  </si>
  <si>
    <t>PS_HDR_COIL_DESIGN_DATA</t>
  </si>
  <si>
    <t>Coil Design Data</t>
  </si>
  <si>
    <t>Datos de Diseño de la Serpentina</t>
  </si>
  <si>
    <t>Dados de Projeto da Serpentina</t>
  </si>
  <si>
    <t>Données de Conception de la Batterie</t>
  </si>
  <si>
    <t>PS_HDR_COIL_DESIGN_PERFORMANCE</t>
  </si>
  <si>
    <t>Coil Design Performance Data</t>
  </si>
  <si>
    <t>Datos de Rendimiento de Diseño de la Serpentina</t>
  </si>
  <si>
    <t>Dados de Desempenho de Projeto da Serpentina</t>
  </si>
  <si>
    <t>Données de Performance de Conception de la Batterie</t>
  </si>
  <si>
    <t>PS_HDR_GREENHOUSE_GAS</t>
  </si>
  <si>
    <t>Greenhouse Gas Equivalents</t>
  </si>
  <si>
    <t>Equivalentes de Gases de Efecto Invernadero</t>
  </si>
  <si>
    <t>Equivalentes de Gases de Efeito Estufa</t>
  </si>
  <si>
    <t>Équivalents de Gaz à Effet de Serre</t>
  </si>
  <si>
    <t>HIDE_INFOTEXT_BTN</t>
  </si>
  <si>
    <t>Hide InfoText</t>
  </si>
  <si>
    <t>Ocultar InfoText</t>
  </si>
  <si>
    <t>Masquer InfoText</t>
  </si>
  <si>
    <t>LANGUAGE_UNIT_SELECTION_HDR</t>
  </si>
  <si>
    <t>Language &amp; Unit Selection</t>
  </si>
  <si>
    <t>Selección de Idioma y Unidades</t>
  </si>
  <si>
    <t>Seleção de Idioma e Unidades</t>
  </si>
  <si>
    <t>Sélection de la Langue et des Unités</t>
  </si>
  <si>
    <t>$</t>
  </si>
  <si>
    <t>FINANCIAL_ANALYSIS_HDR</t>
  </si>
  <si>
    <t>INVESTMENT_COST_LABEL</t>
  </si>
  <si>
    <t>Investment Cost (Energy Valve + Installation)</t>
  </si>
  <si>
    <t>Costo de Inversión (Energy Valve + Instalación)</t>
  </si>
  <si>
    <t>Custo do Investimento (Energy Valve + Instalação)</t>
  </si>
  <si>
    <t>Coût de l'Investissement (Energy Valve + Installation)</t>
  </si>
  <si>
    <t>DISCOUNT_RATE_LABEL</t>
  </si>
  <si>
    <t>Discount Rate</t>
  </si>
  <si>
    <t>Tasa de Descuento</t>
  </si>
  <si>
    <t>Taxa de Desconto</t>
  </si>
  <si>
    <t>Taux d'Actualisation</t>
  </si>
  <si>
    <t>NPV_LABEL</t>
  </si>
  <si>
    <t>Net Present Value (NPV)</t>
  </si>
  <si>
    <t>Valor Presente Neto (VPN)</t>
  </si>
  <si>
    <t>Valor Presente Líquido (VPL)</t>
  </si>
  <si>
    <t>Valeur Actuelle Nette (VAN)</t>
  </si>
  <si>
    <t>SIR_LABEL</t>
  </si>
  <si>
    <t>Savings-Investment Ratio (SIR)</t>
  </si>
  <si>
    <t>Relación Ahorro-Inversión (SIR)</t>
  </si>
  <si>
    <t>Relação Economia-Investimento (SIR)</t>
  </si>
  <si>
    <t>Ratio Économies-Investissement (SIR)</t>
  </si>
  <si>
    <t>SIMPLE_PAYBACK_LABEL</t>
  </si>
  <si>
    <t>Simple Payback Period</t>
  </si>
  <si>
    <t>Período de Recuperación Simple</t>
  </si>
  <si>
    <t>Período de Retorno Simples</t>
  </si>
  <si>
    <t>Période de Récupération Simple</t>
  </si>
  <si>
    <t>YEARS_WORD</t>
  </si>
  <si>
    <t>years</t>
  </si>
  <si>
    <t>años</t>
  </si>
  <si>
    <t>anos</t>
  </si>
  <si>
    <t>ans</t>
  </si>
  <si>
    <t xml:space="preserve">Enter the estimated cost to purchase Energy Valves and the cost of installation.
</t>
  </si>
  <si>
    <t xml:space="preserve">Ingrese el costo estimado para comprar las Energy Valves y el costo de instalación.
</t>
  </si>
  <si>
    <t xml:space="preserve">Insira o custo estimado para comprar as Energy Valves e o custo de instalação.
</t>
  </si>
  <si>
    <t xml:space="preserve">Entrez le coût estimé pour acheter les Energy Valves et le coût d'installation.
</t>
  </si>
  <si>
    <t>Financial Inputs</t>
  </si>
  <si>
    <t>Entradas Financieras</t>
  </si>
  <si>
    <t>Entradas Financeiras</t>
  </si>
  <si>
    <t>Entrées Financières</t>
  </si>
  <si>
    <t>STEP_5</t>
  </si>
  <si>
    <t>Step 5</t>
  </si>
  <si>
    <t>Paso 5</t>
  </si>
  <si>
    <t>Passo 5</t>
  </si>
  <si>
    <t>Étape 5</t>
  </si>
  <si>
    <t>STEP_LANG_UNITS_HELP_TEXT</t>
  </si>
  <si>
    <t xml:space="preserve">Select your preferred Language and Unit system using the drop-down boxes to the right.
</t>
  </si>
  <si>
    <t xml:space="preserve">Seleccione su Idioma y sistema de Unidades preferido usando los cuadros desplegables a la derecha.
</t>
  </si>
  <si>
    <t xml:space="preserve">Selecione seu Idioma e sistema de Unidades preferido usando as caixas suspensas à direita.
</t>
  </si>
  <si>
    <t xml:space="preserve">Sélectionnez votre Langue et système d'Unités préféré à l'aide des listes déroulantes à droite.
</t>
  </si>
  <si>
    <t>RESULTS_HEADER</t>
  </si>
  <si>
    <t>Your Energy Valve Savings</t>
  </si>
  <si>
    <t>Sus Ahorros con Energy Valve</t>
  </si>
  <si>
    <t>Sua Economia com Energy Valve</t>
  </si>
  <si>
    <t>Vos Économies avec Energy Valve</t>
  </si>
  <si>
    <t>HEADLINE_PUMPING_COST_LABEL</t>
  </si>
  <si>
    <t>Annual Pumping Cost Savings</t>
  </si>
  <si>
    <t>Ahorro Anual en Costo de Bombeo</t>
  </si>
  <si>
    <t>Economia Anual em Custo de Bombeamento</t>
  </si>
  <si>
    <t>Économies Annuelles sur le Coût de Pompage</t>
  </si>
  <si>
    <t>HEADLINE_ENERGY_LABEL</t>
  </si>
  <si>
    <t>Annual Energy Savings</t>
  </si>
  <si>
    <t>Ahorro Anual de Energía</t>
  </si>
  <si>
    <t>Economia Anual de Energia</t>
  </si>
  <si>
    <t>Économies d'Énergie Annuelles</t>
  </si>
  <si>
    <t>HEADLINE_WATER_LABEL</t>
  </si>
  <si>
    <t>Annual Water Savings</t>
  </si>
  <si>
    <t>Ahorro Anual de Agua</t>
  </si>
  <si>
    <t>Economia Anual de Água</t>
  </si>
  <si>
    <t>Économies d'Eau Annuelles</t>
  </si>
  <si>
    <t>BEFORE_AFTER_HDR</t>
  </si>
  <si>
    <t>Before &amp; After: Changing Your Delta-T</t>
  </si>
  <si>
    <t>Antes y Después: Cambiando su Delta-T</t>
  </si>
  <si>
    <t>Antes e Depois: Alterando seu Delta-T</t>
  </si>
  <si>
    <t>Avant et Après : Changement de votre Delta-T</t>
  </si>
  <si>
    <t>ACTUAL_COL_HDR</t>
  </si>
  <si>
    <t>Actual (Before)</t>
  </si>
  <si>
    <t>Actual (Antes)</t>
  </si>
  <si>
    <t>Atual (Antes)</t>
  </si>
  <si>
    <t>Actuel (Avant)</t>
  </si>
  <si>
    <t>FUTURE_COL_HDR</t>
  </si>
  <si>
    <t>Future (After Energy Valve)</t>
  </si>
  <si>
    <t>Futuro (Después de Energy Valve)</t>
  </si>
  <si>
    <t>Futuro (Após Energy Valve)</t>
  </si>
  <si>
    <t>Futur (Après Energy Valve)</t>
  </si>
  <si>
    <t>AVG_FLOW_GPM_LABEL</t>
  </si>
  <si>
    <t>Avg Flow [GPM]</t>
  </si>
  <si>
    <t>Caudal Prom. [GPM]</t>
  </si>
  <si>
    <t>Vazão Méd. [GPM]</t>
  </si>
  <si>
    <t>Débit Moy. [GPM]</t>
  </si>
  <si>
    <t>PUMPING_COST_YEAR_LABEL</t>
  </si>
  <si>
    <t>Pumping Cost / Year</t>
  </si>
  <si>
    <t>Costo de Bombeo / Año</t>
  </si>
  <si>
    <t>Custo de Bombeamento / Ano</t>
  </si>
  <si>
    <t>Coût de Pompage / An</t>
  </si>
  <si>
    <t>ENERGY_YEAR_KWH_LABEL</t>
  </si>
  <si>
    <t>Energy / Year [kWh]</t>
  </si>
  <si>
    <t>Energía / Año [kWh]</t>
  </si>
  <si>
    <t>Energia / Ano [kWh]</t>
  </si>
  <si>
    <t>Énergie / An [kWh]</t>
  </si>
  <si>
    <t>FINANCIAL_SUMMARY_HDR</t>
  </si>
  <si>
    <t>Financial Summary</t>
  </si>
  <si>
    <t>Resumen Financiero</t>
  </si>
  <si>
    <t>Resumo Financeiro</t>
  </si>
  <si>
    <t>Résumé Financier</t>
  </si>
  <si>
    <t>UTILITY_REBATE_HDR</t>
  </si>
  <si>
    <t>Utility Rebate Support</t>
  </si>
  <si>
    <t>Soporte para Reembolso de Servicios Públicos</t>
  </si>
  <si>
    <t>Suporte para Reembolso da Concessionária</t>
  </si>
  <si>
    <t>Support pour Remise du Service Public</t>
  </si>
  <si>
    <t>UTILITY_REBATE_TEXT</t>
  </si>
  <si>
    <t>Results</t>
  </si>
  <si>
    <t>$E$12</t>
  </si>
  <si>
    <t>$E$17</t>
  </si>
  <si>
    <t>$C$43</t>
  </si>
  <si>
    <t>$C$44</t>
  </si>
  <si>
    <t>$C$45</t>
  </si>
  <si>
    <t>$C$35</t>
  </si>
  <si>
    <t>HDR_DELTA_T</t>
  </si>
  <si>
    <t>Delta-T</t>
  </si>
  <si>
    <t>HDR_AVG</t>
  </si>
  <si>
    <t>Avg</t>
  </si>
  <si>
    <t>Prom.</t>
  </si>
  <si>
    <t>Méd.</t>
  </si>
  <si>
    <t>Moy.</t>
  </si>
  <si>
    <t>HDR_AVG_FLOW</t>
  </si>
  <si>
    <t>Avg Flow</t>
  </si>
  <si>
    <t>Flujo Promedio</t>
  </si>
  <si>
    <t>Vazão Média</t>
  </si>
  <si>
    <t>Débit Moyen</t>
  </si>
  <si>
    <t>HDR_ENERGY</t>
  </si>
  <si>
    <t>Energy</t>
  </si>
  <si>
    <t>Energía</t>
  </si>
  <si>
    <t>Energia</t>
  </si>
  <si>
    <t>Énergie</t>
  </si>
  <si>
    <t>HDR_ENERGY_YEAR</t>
  </si>
  <si>
    <t>Energy / Year</t>
  </si>
  <si>
    <t>Energía / Año</t>
  </si>
  <si>
    <t>Energia / Ano</t>
  </si>
  <si>
    <t>Énergie / An</t>
  </si>
  <si>
    <t>HDR_ANNUAL</t>
  </si>
  <si>
    <t>Annual</t>
  </si>
  <si>
    <t>Anual</t>
  </si>
  <si>
    <t>Annuel</t>
  </si>
  <si>
    <t>UNIT_TONS</t>
  </si>
  <si>
    <t>tons</t>
  </si>
  <si>
    <t>toneladas</t>
  </si>
  <si>
    <t>tonnes</t>
  </si>
  <si>
    <t>UNIT_GALLONS</t>
  </si>
  <si>
    <t>gallons</t>
  </si>
  <si>
    <t>galones</t>
  </si>
  <si>
    <t>galões</t>
  </si>
  <si>
    <t>UNIT_LITERS</t>
  </si>
  <si>
    <t>liters</t>
  </si>
  <si>
    <t>litros</t>
  </si>
  <si>
    <t>litres</t>
  </si>
  <si>
    <t>UNIT_LBS</t>
  </si>
  <si>
    <t>lbs</t>
  </si>
  <si>
    <t>lb</t>
  </si>
  <si>
    <t>UNIT_HOURS</t>
  </si>
  <si>
    <t>horas</t>
  </si>
  <si>
    <t>heures</t>
  </si>
  <si>
    <t>UNIT_DAYS</t>
  </si>
  <si>
    <t>días</t>
  </si>
  <si>
    <t>dias</t>
  </si>
  <si>
    <t>jours</t>
  </si>
  <si>
    <t>UNIT_WEEKS</t>
  </si>
  <si>
    <t>semanas</t>
  </si>
  <si>
    <t>semaines</t>
  </si>
  <si>
    <t>UNIT_PCS</t>
  </si>
  <si>
    <t>uds.</t>
  </si>
  <si>
    <t>pçs.</t>
  </si>
  <si>
    <t>DT_MIN_BOUND (display units)</t>
  </si>
  <si>
    <t>DT_MAX_BOUND (display units)</t>
  </si>
  <si>
    <t>DT_GAP (display units)</t>
  </si>
  <si>
    <t>REBATE_BASIS_HDR</t>
  </si>
  <si>
    <t>Measure &amp; Operating Basis</t>
  </si>
  <si>
    <t>Medida y Base Operativa</t>
  </si>
  <si>
    <t>Medida e Base Operacional</t>
  </si>
  <si>
    <t>Mesure et Base d'Exploitation</t>
  </si>
  <si>
    <t>REBATE_BASELINE_DT</t>
  </si>
  <si>
    <t>Baseline Delta-T (before)</t>
  </si>
  <si>
    <t>Delta-T de Referencia (antes)</t>
  </si>
  <si>
    <t>Delta-T de Referência (antes)</t>
  </si>
  <si>
    <t>Delta-T de Référence (avant)</t>
  </si>
  <si>
    <t>REBATE_POST_DT</t>
  </si>
  <si>
    <t>Post-Retrofit Delta-T (after)</t>
  </si>
  <si>
    <t>Delta-T Posterior (después)</t>
  </si>
  <si>
    <t>Delta-T Posterior (depois)</t>
  </si>
  <si>
    <t>Delta-T Après Rénovation</t>
  </si>
  <si>
    <t>REBATE_NUM_COILS</t>
  </si>
  <si>
    <t>Number of Coils</t>
  </si>
  <si>
    <t>REBATE_ANNUAL_HOURS</t>
  </si>
  <si>
    <t>REBATE_ENERGY_HDR</t>
  </si>
  <si>
    <t>Energy &amp; Demand Savings</t>
  </si>
  <si>
    <t>Ahorro de Energía y Demanda</t>
  </si>
  <si>
    <t>Economia de Energia e Demanda</t>
  </si>
  <si>
    <t>Économies d'Énergie et de Puissance</t>
  </si>
  <si>
    <t>REBATE_ANNUAL_KWH</t>
  </si>
  <si>
    <t>Annual Electricity Savings</t>
  </si>
  <si>
    <t>Ahorro Anual de Electricidad</t>
  </si>
  <si>
    <t>Economia Anual de Eletricidade</t>
  </si>
  <si>
    <t>Économies Annuelles d'Électricité</t>
  </si>
  <si>
    <t>REBATE_AVG_KW</t>
  </si>
  <si>
    <t>Average Demand Reduction</t>
  </si>
  <si>
    <t>Reducción Promedio de Demanda</t>
  </si>
  <si>
    <t>Redução Média de Demanda</t>
  </si>
  <si>
    <t>Réduction Moyenne de Puissance</t>
  </si>
  <si>
    <t>REBATE_PEAK_KW</t>
  </si>
  <si>
    <t>Demand Reduction at Peak Load</t>
  </si>
  <si>
    <t>Reducción de Demanda a Carga Pico</t>
  </si>
  <si>
    <t>Redução de Demanda em Carga de Pico</t>
  </si>
  <si>
    <t>Réduction de Puissance à Charge de Pointe</t>
  </si>
  <si>
    <t>REBATE_ANNUAL_COST</t>
  </si>
  <si>
    <t>Annual Cost Savings</t>
  </si>
  <si>
    <t>Ahorro Anual de Costos</t>
  </si>
  <si>
    <t>Economia Anual de Custos</t>
  </si>
  <si>
    <t>Économies Annuelles de Coûts</t>
  </si>
  <si>
    <t>REBATE_BASELINE_KWH</t>
  </si>
  <si>
    <t>Baseline Annual Pump Energy</t>
  </si>
  <si>
    <t>Energía Anual de Bomba de Referencia</t>
  </si>
  <si>
    <t>Energia Anual da Bomba de Referência</t>
  </si>
  <si>
    <t>Énergie Annuelle de Pompe de Référence</t>
  </si>
  <si>
    <t>REBATE_POST_KWH</t>
  </si>
  <si>
    <t>Post-Retrofit Annual Pump Energy</t>
  </si>
  <si>
    <t>Energía Anual de Bomba Posterior</t>
  </si>
  <si>
    <t>Energia Anual da Bomba Posterior</t>
  </si>
  <si>
    <t>Énergie Annuelle de Pompe Après Rénovation</t>
  </si>
  <si>
    <t>REBATE_PCT_REDUCTION</t>
  </si>
  <si>
    <t>Pump Energy Reduction</t>
  </si>
  <si>
    <t>Reducción de Energía de Bomba</t>
  </si>
  <si>
    <t>Redução de Energia da Bomba</t>
  </si>
  <si>
    <t>Réduction d'Énergie de Pompe</t>
  </si>
  <si>
    <t>REBATE_LIFETIME_HDR</t>
  </si>
  <si>
    <t>Lifetime &amp; Environmental</t>
  </si>
  <si>
    <t>Vida Útil y Medio Ambiente</t>
  </si>
  <si>
    <t>Vida Útil e Meio Ambiente</t>
  </si>
  <si>
    <t>Durée de Vie et Environnement</t>
  </si>
  <si>
    <t>REBATE_MEASURE_LIFE</t>
  </si>
  <si>
    <t>Estimated Measure Life</t>
  </si>
  <si>
    <t>Vida Útil Estimada de la Medida</t>
  </si>
  <si>
    <t>Vida Útil Estimada da Medida</t>
  </si>
  <si>
    <t>Durée de Vie Estimée de la Mesure</t>
  </si>
  <si>
    <t>REBATE_LIFETIME_KWH</t>
  </si>
  <si>
    <t>Lifetime Electricity Savings</t>
  </si>
  <si>
    <t>Ahorro de Electricidad en Vida Útil</t>
  </si>
  <si>
    <t>Economia de Eletricidade na Vida Útil</t>
  </si>
  <si>
    <t>Économies d'Électricité sur la Durée de Vie</t>
  </si>
  <si>
    <t>REBATE_WATER</t>
  </si>
  <si>
    <t>Annual Water Volume Reduction</t>
  </si>
  <si>
    <t>Reducción Anual de Volumen de Agua</t>
  </si>
  <si>
    <t>Redução Anual do Volume de Água</t>
  </si>
  <si>
    <t>Réduction Annuelle du Volume d'Eau</t>
  </si>
  <si>
    <t>UNIT_KW_LABEL</t>
  </si>
  <si>
    <t>kW</t>
  </si>
  <si>
    <t>Savings are calculated from pump affinity laws applied to the coil's load profile across the operating year. Baseline and post-retrofit pump energy are computed at the Actual and Future Delta-T respectively, using the site's own operating hours, pump head, motor/VFD efficiency and electricity rate entered on the Home sheet. Demand reduction at peak load is the difference in maximum pump input power between the two cases; average demand reduction is annual energy saved divided by annual operating hours. These figures are suitable for submission to utility rebate and incentive programs.</t>
  </si>
  <si>
    <t>Los ahorros se calculan a partir de las leyes de afinidad de bombas aplicadas al perfil de carga de la serpentina durante el año de operación. La energía de bomba de referencia y posterior se calculan con el Delta-T Actual y Futuro respectivamente, usando las horas de operación, la altura de bomba, la eficiencia del motor/VFD y la tarifa eléctrica ingresadas en la hoja Inicio. La reducción de demanda a carga pico es la diferencia de potencia máxima de entrada entre ambos casos; la reducción promedio es la energía anual ahorrada dividida entre las horas anuales. Estas cifras son adecuadas para programas de incentivos de servicios públicos.</t>
  </si>
  <si>
    <t>As economias são calculadas a partir das leis de afinidade de bombas aplicadas ao perfil de carga da serpentina ao longo do ano de operação. A energia da bomba de referência e posterior são calculadas com o Delta-T Atual e Futuro respectivamente, usando as horas de operação, a altura manométrica, a eficiência do motor/VFD e a tarifa elétrica inseridas na planilha Início. A redução de demanda em carga de pico é a diferença de potência máxima de entrada entre os dois casos; a redução média é a energia anual economizada dividida pelas horas anuais. Estes valores são adequados para programas de incentivo de concessionárias.</t>
  </si>
  <si>
    <t>Les économies sont calculées à partir des lois de similitude des pompes appliquées au profil de charge de la batterie sur l'année d'exploitation. L'énergie de pompe de référence et après rénovation est calculée aux Delta-T Actuel et Futur respectivement, en utilisant les heures de fonctionnement, la hauteur manométrique, le rendement moteur/VFD et le tarif électrique saisis sur la feuille Accueil. La réduction de puissance à charge de pointe est la différence de puissance absorbée maximale entre les deux cas; la réduction moyenne est l'énergie annuelle économisée divisée par les heures annuelles. Ces valeurs conviennent aux programmes d'incitation des services publics.</t>
  </si>
  <si>
    <t>delta-T -&gt; peak pump kW (MAX(HP)*0.746)</t>
  </si>
  <si>
    <t>$I$63</t>
  </si>
  <si>
    <t>DISCOUNT RATE
Money you save years from now is worth less than money saved today, because cash in hand could be earning interest in the meantime. The discount rate is how much less. At 4%, a dollar saved 10 years from now counts as about 68 cents today.
Use your organisation's cost of borrowing or its required rate of return. 3-6% is common for public and utility-funded work, higher for private investment. A higher rate makes future savings count for less, so the project looks less attractive.</t>
  </si>
  <si>
    <t>TASA DE DESCUENTO
El dinero que ahorre dentro de varios años vale menos que el dinero ahorrado hoy, porque el efectivo disponible podría estar generando intereses mientras tanto. La tasa de descuento indica cuánto menos. Al 4%, un dólar ahorrado dentro de 10 años equivale a unos 68 centavos de hoy.
Use el costo de financiamiento de su organización o su rentabilidad exigida. Del 3% al 6% es habitual en proyectos públicos y de servicios públicos, y más alto en inversión privada. Una tasa más alta reduce el peso de los ahorros futuros, por lo que el proyecto parece menos atractivo.</t>
  </si>
  <si>
    <t>TAXA DE DESCONTO
O dinheiro que você economizar daqui a alguns anos vale menos do que o economizado hoje, porque o dinheiro em caixa poderia estar rendendo juros nesse meio-tempo. A taxa de desconto indica quanto menos. A 4%, um dólar economizado daqui a 10 anos equivale a cerca de 68 centavos de hoje.
Use o custo de captação da sua organização ou o retorno exigido. De 3% a 6% é comum em projetos públicos e de concessionárias, e mais alto em investimento privado. Uma taxa maior reduz o peso das economias futuras, fazendo o projeto parecer menos atrativo.</t>
  </si>
  <si>
    <t>TAUX D'ACTUALISATION
L'argent économisé dans plusieurs années vaut moins que l'argent économisé aujourd'hui, car les liquidités disponibles pourraient produire des intérêts entre-temps. Le taux d'actualisation mesure cet écart. À 4 %, un dollar économisé dans 10 ans équivaut à environ 68 cents d'aujourd'hui.
Utilisez le coût d'emprunt de votre organisation ou son taux de rendement exigé. 3 à 6 % est courant pour les projets publics et les programmes de services publics, davantage pour l'investissement privé. Un taux plus élevé réduit le poids des économies futures et rend donc le projet moins attractif.</t>
  </si>
  <si>
    <t>$I$66</t>
  </si>
  <si>
    <t>NET PRESENT VALUE (NPV)
NPV adds up the energy savings over the chosen period, shrinks each year's savings to what it is worth in today's money using the discount rate, then subtracts what you paid up front.
Positive means the project has more than paid for itself by that point. Negative means it has not yet. This tool shows NPV at 5, 10, 15 and 20 years - so if it is negative at 5 years but positive at 15, the project turns profitable somewhere in between. When comparing options, higher is better.</t>
  </si>
  <si>
    <t>VALOR ACTUAL NETO (VAN)
El VAN suma los ahorros de energía del período elegido, reduce los ahorros de cada año a lo que valen en dinero de hoy usando la tasa de descuento, y luego resta la inversión inicial.
Un valor positivo significa que el proyecto ya se pagó con creces en ese momento. Uno negativo, que todavía no. Esta herramienta muestra el VAN a 5, 10, 15 y 20 años: si es negativo a 5 años y positivo a 15, el proyecto se vuelve rentable en algún punto intermedio. Al comparar opciones, cuanto más alto, mejor.</t>
  </si>
  <si>
    <t>VALOR PRESENTE LÍQUIDO (VPL)
O VPL soma as economias de energia do período escolhido, reduz as economias de cada ano ao que valem em dinheiro de hoje usando a taxa de desconto e depois subtrai o investimento inicial.
Positivo significa que o projeto já se pagou com folga naquele momento. Negativo, que ainda não. Esta ferramenta mostra o VPL em 5, 10, 15 e 20 anos: se for negativo em 5 anos e positivo em 15, o projeto se torna rentável em algum ponto intermediário. Ao comparar opções, quanto maior, melhor.</t>
  </si>
  <si>
    <t>VALEUR ACTUELLE NETTE (VAN)
La VAN additionne les économies d'énergie sur la période choisie, ramène les économies de chaque année à leur valeur en argent d'aujourd'hui à l'aide du taux d'actualisation, puis soustrait l'investissement initial.
Une valeur positive signifie que le projet est plus que rentabilisé à cette échéance. Négative, qu'il ne l'est pas encore. Cet outil affiche la VAN à 5, 10, 15 et 20 ans : si elle est négative à 5 ans et positive à 15 ans, le projet devient rentable entre les deux. Pour comparer des options, plus c'est élevé, mieux c'est.</t>
  </si>
  <si>
    <t>$I$67</t>
  </si>
  <si>
    <t>SAVINGS-TO-INVESTMENT RATIO (SIR)
SIR is the same discounted savings divided by the up-front cost. It answers: for every dollar I spend, how many dollars do I get back?
Above 1.0 means you get back more than you put in. Below 1.0 means you do not. An SIR of 1.5 means every $1 invested returns about $1.50 in today's money.
Many rebate and public funding programmes require an SIR of at least 1.0, and because it is a ratio it lets you rank projects of very different sizes against each other.</t>
  </si>
  <si>
    <t>RELACIÓN AHORRO-INVERSIÓN (SIR)
La relación ahorro-inversión es el mismo ahorro descontado dividido entre el costo inicial. Responde: por cada dólar que invierto, ¿cuántos dólares recupero?
Por encima de 1,0 recupera más de lo que invirtió. Por debajo de 1,0, no. Una relación de 1,5 significa que cada dólar invertido devuelve alrededor de 1,50 dólares en dinero de hoy.
Muchos programas de incentivos y de financiamiento público exigen al menos 1,0 y, al ser una relación, permite comparar proyectos de tamaños muy distintos.</t>
  </si>
  <si>
    <t>RELAÇÃO ECONOMIA-INVESTIMENTO (SIR)
A relação economia-investimento é a mesma economia descontada dividida pelo custo inicial. Ela responde: para cada real investido, quanto retorna?
Acima de 1,0 você recebe de volta mais do que investiu. Abaixo de 1,0, não. Uma relação de 1,5 significa que cada 1 investido retorna cerca de 1,50 em dinheiro de hoje.
Muitos programas de incentivo e de financiamento público exigem pelo menos 1,0 e, por ser uma relação, permite comparar projetos de tamanhos bem diferentes.</t>
  </si>
  <si>
    <t>RAPPORT ÉCONOMIES-INVESTISSEMENT (SIR)
Le rapport économies-investissement correspond à ces mêmes économies actualisées divisées par le coût initial. Il répond à la question : pour chaque euro dépensé, combien est-ce que je récupère ?
Au-dessus de 1,0, vous récupérez plus que votre mise. En dessous de 1,0, non. Un rapport de 1,5 signifie que chaque euro investi rapporte environ 1,50 en argent d'aujourd'hui.
De nombreux programmes d'incitation et de financement public exigent au moins 1,0 et, comme il s'agit d'un rapport, il permet de comparer des projets de tailles très différentes.</t>
  </si>
  <si>
    <t>Flow</t>
  </si>
  <si>
    <t>Caudal</t>
  </si>
  <si>
    <t>Vazão</t>
  </si>
  <si>
    <t>Débit</t>
  </si>
  <si>
    <t>In</t>
  </si>
  <si>
    <t>En</t>
  </si>
  <si>
    <t>Em</t>
  </si>
  <si>
    <t>Head</t>
  </si>
  <si>
    <t>Altura</t>
  </si>
  <si>
    <t>Hauteur</t>
  </si>
  <si>
    <t>Power</t>
  </si>
  <si>
    <t>Potencia</t>
  </si>
  <si>
    <t>Potência</t>
  </si>
  <si>
    <t>Puissance</t>
  </si>
  <si>
    <t>Pumped</t>
  </si>
  <si>
    <t>Bombeado</t>
  </si>
  <si>
    <t>Pompé</t>
  </si>
  <si>
    <t>Chilled Water Coil Flows at different Delta T</t>
  </si>
  <si>
    <t>Caudales de la Serpentina de Agua Fría a Diferentes Delta T</t>
  </si>
  <si>
    <t>Vazões da Serpentina de Água Gelada em Diferentes Delta T</t>
  </si>
  <si>
    <t>Débits de la Batterie d'Eau Glacée à Différents Delta T</t>
  </si>
  <si>
    <t>Chilled Water Coil Flow at Delta T</t>
  </si>
  <si>
    <t>Caudal de la Serpentina de Agua Fría a Delta T</t>
  </si>
  <si>
    <t>Vazão da Serpentina de Água Gelada em Delta T</t>
  </si>
  <si>
    <t>Débit de la Batterie d'Eau Glacée à Delta T</t>
  </si>
  <si>
    <t>US</t>
  </si>
  <si>
    <t>6.2..25 lpm</t>
  </si>
  <si>
    <t>10.2..41.6 lpm</t>
  </si>
  <si>
    <t>17..68.9 lpm</t>
  </si>
  <si>
    <t>26.9..107.9 lpm</t>
  </si>
  <si>
    <t>41.6..166.6 lpm</t>
  </si>
  <si>
    <t>62.5..249.8 lpm</t>
  </si>
  <si>
    <t>94.6..378.5 lpm</t>
  </si>
  <si>
    <t>143.8..480.7 lpm</t>
  </si>
  <si>
    <t>204.4..681.4 lpm</t>
  </si>
  <si>
    <t>359.6..1200 lpm</t>
  </si>
  <si>
    <t>564..1873.8 lpm</t>
  </si>
  <si>
    <t>810.1..2699 lpm</t>
  </si>
  <si>
    <t>Up to 5299.6 lpm</t>
  </si>
  <si>
    <t>Design Chilled Water Coil</t>
  </si>
  <si>
    <t>Diseño de la Serpentina de Agua Fría</t>
  </si>
  <si>
    <t>Projeto da Serpentina de Água Gelada</t>
  </si>
  <si>
    <t>Conception de la Batterie d'Eau Glacée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</si>
</sst>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
    <numFmt numFmtId="165" formatCode="_(* #,##0_);_(* \(#,##0\);_(* &quot;-&quot;??_);_(@_)"/>
    <numFmt numFmtId="166" formatCode="0.0"/>
    <numFmt numFmtId="167" formatCode="&quot;$&quot;#,##0"/>
    <numFmt numFmtId="168" formatCode="&quot;$&quot;#,##0.00"/>
    <numFmt numFmtId="169" formatCode="0.000"/>
    <numFmt numFmtId="170" formatCode="&quot;$&quot;#,##0;\(&quot;$&quot;#,##0\)"/>
    <numFmt numFmtId="171" formatCode="#,##0.0"/>
  </numFmts>
  <fonts count="32">
    <font>
      <sz val="10"/>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Arial"/>
      <family val="2"/>
    </font>
    <font>
      <sz val="10"/>
      <name val="Arial"/>
      <family val="2"/>
    </font>
    <font>
      <sz val="10"/>
      <color theme="1"/>
      <name val="Arial"/>
      <family val="2"/>
    </font>
    <font>
      <b/>
      <sz val="10"/>
      <color theme="1"/>
      <name val="Arial"/>
      <family val="2"/>
    </font>
    <font>
      <b/>
      <sz val="10"/>
      <name val="Arial"/>
      <family val="2"/>
    </font>
    <font>
      <sz val="12"/>
      <color rgb="FF222222"/>
      <name val="Arial"/>
      <family val="2"/>
    </font>
    <font>
      <sz val="9.9"/>
      <color theme="1"/>
      <name val="Arial"/>
      <family val="2"/>
    </font>
    <font>
      <sz val="11"/>
      <color theme="0"/>
      <name val="Arial"/>
      <family val="2"/>
    </font>
    <font>
      <sz val="10"/>
      <color theme="0"/>
      <name val="Arial"/>
      <family val="2"/>
    </font>
    <font>
      <b/>
      <sz val="10"/>
      <color theme="0"/>
      <name val="Arial"/>
      <family val="2"/>
    </font>
    <font>
      <sz val="11"/>
      <color theme="1"/>
      <name val="CastleT"/>
      <family val="2"/>
    </font>
    <font>
      <b/>
      <sz val="10"/>
      <name val="Calibri"/>
      <family val="2"/>
    </font>
    <font>
      <sz val="10"/>
      <color indexed="12"/>
      <name val="Arial"/>
      <family val="2"/>
    </font>
    <font>
      <sz val="10"/>
      <color theme="5"/>
      <name val="Arial"/>
      <family val="2"/>
    </font>
    <font>
      <b/>
      <sz val="11"/>
      <color theme="1"/>
      <name val="Calibri"/>
      <family val="2"/>
      <scheme val="minor"/>
    </font>
    <font>
      <b/>
      <sz val="11"/>
      <color theme="1"/>
      <name val="Arial"/>
      <family val="2"/>
    </font>
    <font>
      <b/>
      <sz val="9"/>
      <color theme="1"/>
      <name val="Arial"/>
      <family val="2"/>
    </font>
    <font>
      <sz val="11"/>
      <name val="Comic Sans MS"/>
      <family val="4"/>
    </font>
    <font>
      <sz val="12"/>
      <name val="Comic Sans MS"/>
      <family val="4"/>
    </font>
    <font>
      <b/>
      <sz val="14"/>
      <name val="Comic Sans MS"/>
      <family val="4"/>
    </font>
    <font>
      <sz val="9"/>
      <color theme="1"/>
      <name val="Arial"/>
      <family val="2"/>
    </font>
    <font>
      <sz val="10"/>
      <color rgb="FF000000"/>
      <name val="Arial"/>
      <family val="2"/>
    </font>
    <font>
      <b/>
      <sz val="11"/>
      <color rgb="FF000000"/>
      <name val="Arial"/>
      <family val="2"/>
    </font>
    <font>
      <b/>
      <sz val="11"/>
      <name val="Arial"/>
      <family val="2"/>
    </font>
    <font>
      <i/>
      <sz val="9"/>
      <name val="Arial"/>
      <family val="2"/>
    </font>
  </fonts>
  <fills count="21">
    <fill>
      <patternFill patternType="none"/>
    </fill>
    <fill>
      <patternFill patternType="gray125"/>
    </fill>
    <fill>
      <patternFill patternType="solid">
        <fgColor rgb="FFEEF0F2"/>
        <bgColor indexed="64"/>
      </patternFill>
    </fill>
    <fill>
      <patternFill patternType="solid">
        <fgColor rgb="FFC3C8CE"/>
        <bgColor indexed="64"/>
      </patternFill>
    </fill>
    <fill>
      <patternFill patternType="solid">
        <fgColor theme="0"/>
        <bgColor indexed="64"/>
      </patternFill>
    </fill>
    <fill>
      <patternFill patternType="solid">
        <fgColor rgb="FFFF6600"/>
        <bgColor indexed="64"/>
      </patternFill>
    </fill>
    <fill>
      <patternFill patternType="solid">
        <fgColor rgb="FF000080"/>
        <bgColor indexed="64"/>
      </patternFill>
    </fill>
    <fill>
      <patternFill patternType="solid">
        <fgColor indexed="43"/>
        <bgColor indexed="64"/>
      </patternFill>
    </fill>
    <fill>
      <patternFill patternType="solid">
        <fgColor theme="4" tint="0.79998168889431442"/>
        <bgColor indexed="64"/>
      </patternFill>
    </fill>
    <fill>
      <patternFill patternType="solid">
        <fgColor rgb="FF99CCFF"/>
        <bgColor indexed="64"/>
      </patternFill>
    </fill>
    <fill>
      <patternFill patternType="solid">
        <fgColor indexed="44"/>
        <bgColor indexed="64"/>
      </patternFill>
    </fill>
    <fill>
      <patternFill patternType="solid">
        <fgColor indexed="10"/>
        <bgColor indexed="64"/>
      </patternFill>
    </fill>
    <fill>
      <patternFill patternType="solid">
        <fgColor rgb="FFFF0000"/>
        <bgColor indexed="64"/>
      </patternFill>
    </fill>
    <fill>
      <patternFill patternType="solid">
        <fgColor rgb="FFFFC000"/>
        <bgColor indexed="64"/>
      </patternFill>
    </fill>
    <fill>
      <patternFill patternType="solid">
        <fgColor rgb="FFFFFF00"/>
        <bgColor indexed="64"/>
      </patternFill>
    </fill>
    <fill>
      <patternFill patternType="solid">
        <fgColor rgb="FF92D050"/>
        <bgColor indexed="64"/>
      </patternFill>
    </fill>
    <fill>
      <patternFill patternType="solid">
        <fgColor rgb="FF00B05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808080"/>
        <bgColor indexed="64"/>
      </patternFill>
    </fill>
    <fill>
      <patternFill patternType="solid">
        <fgColor rgb="FFFFFFFF"/>
        <bgColor indexed="64"/>
      </patternFill>
    </fill>
  </fills>
  <borders count="71">
    <border>
      <left/>
      <right/>
      <top/>
      <bottom/>
      <diagonal/>
    </border>
    <border>
      <left/>
      <right/>
      <top/>
      <bottom style="medium">
        <color rgb="FFFF6600"/>
      </bottom>
      <diagonal/>
    </border>
    <border>
      <left style="thin">
        <color rgb="FFB6B6B6"/>
      </left>
      <right/>
      <top style="thin">
        <color rgb="FFB6B6B6"/>
      </top>
      <bottom style="thin">
        <color rgb="FFD1D5D9"/>
      </bottom>
      <diagonal/>
    </border>
    <border>
      <left/>
      <right/>
      <top style="thin">
        <color rgb="FFB6B6B6"/>
      </top>
      <bottom style="thin">
        <color rgb="FFD1D5D9"/>
      </bottom>
      <diagonal/>
    </border>
    <border>
      <left/>
      <right style="thin">
        <color rgb="FFD1D5D9"/>
      </right>
      <top style="thin">
        <color rgb="FFB6B6B6"/>
      </top>
      <bottom style="thin">
        <color rgb="FFD1D5D9"/>
      </bottom>
      <diagonal/>
    </border>
    <border>
      <left style="thin">
        <color rgb="FFD6DBE0"/>
      </left>
      <right style="thin">
        <color rgb="FFD6DBE0"/>
      </right>
      <top style="thin">
        <color rgb="FFD6DBE0"/>
      </top>
      <bottom style="thin">
        <color rgb="FFE0E4E8"/>
      </bottom>
      <diagonal/>
    </border>
    <border>
      <left style="thin">
        <color rgb="FFB6B6B6"/>
      </left>
      <right style="thin">
        <color rgb="FFB6B6B6"/>
      </right>
      <top style="thin">
        <color rgb="FFB6B6B6"/>
      </top>
      <bottom style="thin">
        <color rgb="FFD1D5D9"/>
      </bottom>
      <diagonal/>
    </border>
    <border>
      <left style="thin">
        <color rgb="FFB6B6B6"/>
      </left>
      <right style="thin">
        <color rgb="FFD1D5D9"/>
      </right>
      <top/>
      <bottom style="thin">
        <color rgb="FFD1D5D9"/>
      </bottom>
      <diagonal/>
    </border>
    <border>
      <left style="thin">
        <color rgb="FFD1D5D9"/>
      </left>
      <right style="thin">
        <color rgb="FFD1D5D9"/>
      </right>
      <top/>
      <bottom style="thin">
        <color rgb="FFD1D5D9"/>
      </bottom>
      <diagonal/>
    </border>
    <border>
      <left style="thin">
        <color rgb="FFD6DBE0"/>
      </left>
      <right style="thin">
        <color rgb="FFD6DBE0"/>
      </right>
      <top style="thin">
        <color rgb="FFE0E4E8"/>
      </top>
      <bottom style="thin">
        <color rgb="FFE0E4E8"/>
      </bottom>
      <diagonal/>
    </border>
    <border>
      <left style="thin">
        <color rgb="FFB6B6B6"/>
      </left>
      <right style="thin">
        <color rgb="FFB6B6B6"/>
      </right>
      <top style="thin">
        <color rgb="FFD1D5D9"/>
      </top>
      <bottom style="thin">
        <color rgb="FFD1D5D9"/>
      </bottom>
      <diagonal/>
    </border>
    <border>
      <left style="thin">
        <color rgb="FFB6B6B6"/>
      </left>
      <right style="thin">
        <color rgb="FFD1D5D9"/>
      </right>
      <top style="thin">
        <color rgb="FFD1D5D9"/>
      </top>
      <bottom style="thin">
        <color rgb="FFD1D5D9"/>
      </bottom>
      <diagonal/>
    </border>
    <border>
      <left style="thin">
        <color rgb="FFD1D5D9"/>
      </left>
      <right style="thin">
        <color rgb="FFD1D5D9"/>
      </right>
      <top style="thin">
        <color rgb="FFD1D5D9"/>
      </top>
      <bottom style="thin">
        <color rgb="FFD1D5D9"/>
      </bottom>
      <diagonal/>
    </border>
    <border>
      <left style="thin">
        <color rgb="FFB6B6B6"/>
      </left>
      <right style="thin">
        <color rgb="FFB6B6B6"/>
      </right>
      <top style="thin">
        <color rgb="FFD1D5D9"/>
      </top>
      <bottom style="thin">
        <color theme="0" tint="-0.14996795556505021"/>
      </bottom>
      <diagonal/>
    </border>
    <border>
      <left style="thin">
        <color rgb="FFB6B6B6"/>
      </left>
      <right style="thin">
        <color rgb="FFB6B6B6"/>
      </right>
      <top/>
      <bottom style="thin">
        <color rgb="FFD1D5D9"/>
      </bottom>
      <diagonal/>
    </border>
    <border>
      <left style="thin">
        <color rgb="FFB6B6B6"/>
      </left>
      <right/>
      <top style="thin">
        <color rgb="FFD1D5D9"/>
      </top>
      <bottom style="thin">
        <color rgb="FFD1D5D9"/>
      </bottom>
      <diagonal/>
    </border>
    <border>
      <left/>
      <right/>
      <top style="thin">
        <color rgb="FFD1D5D9"/>
      </top>
      <bottom style="thin">
        <color rgb="FFD1D5D9"/>
      </bottom>
      <diagonal/>
    </border>
    <border>
      <left style="thin">
        <color rgb="FFB6B6B6"/>
      </left>
      <right/>
      <top style="thin">
        <color rgb="FFD1D5D9"/>
      </top>
      <bottom style="thin">
        <color rgb="FFB6B6B6"/>
      </bottom>
      <diagonal/>
    </border>
    <border>
      <left/>
      <right/>
      <top style="thin">
        <color rgb="FFD1D5D9"/>
      </top>
      <bottom style="thin">
        <color rgb="FFB6B6B6"/>
      </bottom>
      <diagonal/>
    </border>
    <border>
      <left style="thin">
        <color rgb="FFD6DBE0"/>
      </left>
      <right style="thin">
        <color rgb="FFD6DBE0"/>
      </right>
      <top style="thin">
        <color rgb="FFE0E4E8"/>
      </top>
      <bottom style="thin">
        <color rgb="FFD6DBE0"/>
      </bottom>
      <diagonal/>
    </border>
    <border>
      <left style="thin">
        <color rgb="FFB6B6B6"/>
      </left>
      <right style="thin">
        <color rgb="FFB6B6B6"/>
      </right>
      <top style="thin">
        <color rgb="FFD1D5D9"/>
      </top>
      <bottom style="thin">
        <color rgb="FFB6B6B6"/>
      </bottom>
      <diagonal/>
    </border>
    <border>
      <left style="thin">
        <color rgb="FFD6DBE0"/>
      </left>
      <right style="thin">
        <color rgb="FFD6DBE0"/>
      </right>
      <top style="thin">
        <color rgb="FFD6DBE0"/>
      </top>
      <bottom style="thin">
        <color rgb="FFB6B6B6"/>
      </bottom>
      <diagonal/>
    </border>
    <border>
      <left style="thin">
        <color rgb="FFB6B6B6"/>
      </left>
      <right style="thin">
        <color rgb="FFB6B6B6"/>
      </right>
      <top style="thin">
        <color rgb="FFB6B6B6"/>
      </top>
      <bottom style="thin">
        <color rgb="FFB6B6B6"/>
      </bottom>
      <diagonal/>
    </border>
    <border>
      <left/>
      <right/>
      <top style="thin">
        <color rgb="FFD1D5D9"/>
      </top>
      <bottom/>
      <diagonal/>
    </border>
    <border>
      <left style="thin">
        <color rgb="FFB6B6B6"/>
      </left>
      <right style="thin">
        <color rgb="FFB6B6B6"/>
      </right>
      <top style="double">
        <color rgb="FFB6B6B6"/>
      </top>
      <bottom style="medium">
        <color rgb="FFB6B6B6"/>
      </bottom>
      <diagonal/>
    </border>
    <border>
      <left/>
      <right/>
      <top/>
      <bottom style="thin">
        <color rgb="FFB6B6B6"/>
      </bottom>
      <diagonal/>
    </border>
    <border>
      <left style="thin">
        <color rgb="FFB6B6B6"/>
      </left>
      <right/>
      <top style="thin">
        <color rgb="FFB6B6B6"/>
      </top>
      <bottom style="thin">
        <color rgb="FFB6B6B6"/>
      </bottom>
      <diagonal/>
    </border>
    <border>
      <left/>
      <right/>
      <top style="thin">
        <color rgb="FFB6B6B6"/>
      </top>
      <bottom style="thin">
        <color rgb="FFB6B6B6"/>
      </bottom>
      <diagonal/>
    </border>
    <border>
      <left/>
      <right style="thin">
        <color rgb="FFB6B6B6"/>
      </right>
      <top style="thin">
        <color rgb="FFB6B6B6"/>
      </top>
      <bottom style="thin">
        <color rgb="FFB6B6B6"/>
      </bottom>
      <diagonal/>
    </border>
    <border>
      <left/>
      <right style="thin">
        <color rgb="FFB6B6B6"/>
      </right>
      <top style="thin">
        <color rgb="FFB6B6B6"/>
      </top>
      <bottom style="thin">
        <color rgb="FFD1D5D9"/>
      </bottom>
      <diagonal/>
    </border>
    <border>
      <left style="thin">
        <color rgb="FFB6B6B6"/>
      </left>
      <right style="thin">
        <color rgb="FFB6B6B6"/>
      </right>
      <top/>
      <bottom/>
      <diagonal/>
    </border>
    <border>
      <left style="thin">
        <color rgb="FFB6B6B6"/>
      </left>
      <right style="thin">
        <color rgb="FFB6B6B6"/>
      </right>
      <top style="thin">
        <color rgb="FFB6B6B6"/>
      </top>
      <bottom/>
      <diagonal/>
    </border>
    <border>
      <left style="thin">
        <color rgb="FFB6B6B6"/>
      </left>
      <right style="thin">
        <color rgb="FFB6B6B6"/>
      </right>
      <top/>
      <bottom style="thin">
        <color rgb="FFB6B6B6"/>
      </bottom>
      <diagonal/>
    </border>
    <border>
      <left/>
      <right style="thin">
        <color rgb="FFB6B6B6"/>
      </right>
      <top style="thin">
        <color rgb="FFB6B6B6"/>
      </top>
      <bottom/>
      <diagonal/>
    </border>
    <border>
      <left style="thin">
        <color rgb="FFB6B6B6"/>
      </left>
      <right style="thin">
        <color rgb="FFB6B6B6"/>
      </right>
      <top style="thin">
        <color rgb="FFB6B6B6"/>
      </top>
      <bottom style="double">
        <color rgb="FFB6B6B6"/>
      </bottom>
      <diagonal/>
    </border>
    <border>
      <left style="thin">
        <color rgb="FFB6B6B6"/>
      </left>
      <right/>
      <top style="double">
        <color rgb="FFB6B6B6"/>
      </top>
      <bottom style="thin">
        <color rgb="FFB6B6B6"/>
      </bottom>
      <diagonal/>
    </border>
    <border>
      <left/>
      <right/>
      <top style="double">
        <color rgb="FFB6B6B6"/>
      </top>
      <bottom style="thin">
        <color rgb="FFB6B6B6"/>
      </bottom>
      <diagonal/>
    </border>
    <border>
      <left/>
      <right style="thin">
        <color rgb="FFB6B6B6"/>
      </right>
      <top style="double">
        <color rgb="FFB6B6B6"/>
      </top>
      <bottom style="thin">
        <color rgb="FFB6B6B6"/>
      </bottom>
      <diagonal/>
    </border>
    <border>
      <left style="thin">
        <color rgb="FFFF6600"/>
      </left>
      <right/>
      <top style="thin">
        <color rgb="FFFF6600"/>
      </top>
      <bottom style="thin">
        <color rgb="FFFF6600"/>
      </bottom>
      <diagonal/>
    </border>
    <border>
      <left/>
      <right/>
      <top style="thin">
        <color rgb="FFFF6600"/>
      </top>
      <bottom style="thin">
        <color rgb="FFFF6600"/>
      </bottom>
      <diagonal/>
    </border>
    <border>
      <left/>
      <right style="thin">
        <color rgb="FFFF6600"/>
      </right>
      <top style="thin">
        <color rgb="FFFF6600"/>
      </top>
      <bottom style="thin">
        <color rgb="FFFF6600"/>
      </bottom>
      <diagonal/>
    </border>
    <border>
      <left style="thin">
        <color rgb="FFFF6600"/>
      </left>
      <right style="thin">
        <color rgb="FFFF6600"/>
      </right>
      <top style="thin">
        <color rgb="FFFF6600"/>
      </top>
      <bottom style="thin">
        <color rgb="FFFF6600"/>
      </bottom>
      <diagonal/>
    </border>
    <border>
      <left style="thin">
        <color rgb="FFD6DBE0"/>
      </left>
      <right/>
      <top/>
      <bottom style="thin">
        <color rgb="FFB6B6B6"/>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rgb="FFB6B6B6"/>
      </left>
      <right/>
      <top style="thin">
        <color rgb="FFD1D5D9"/>
      </top>
      <bottom/>
      <diagonal/>
    </border>
    <border>
      <left style="thin">
        <color rgb="FFB6B6B6"/>
      </left>
      <right/>
      <top/>
      <bottom/>
      <diagonal/>
    </border>
    <border>
      <left style="thin">
        <color rgb="FFD6DBE0"/>
      </left>
      <right style="thin">
        <color rgb="FFD6DBE0"/>
      </right>
      <top style="thin">
        <color rgb="FFD6DBE0"/>
      </top>
      <bottom style="thin">
        <color rgb="FFD6DBE0"/>
      </bottom>
      <diagonal/>
    </border>
    <border>
      <left style="thin">
        <color rgb="FFFF6600"/>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rgb="FFD6DBE0"/>
      </left>
      <right style="thin">
        <color rgb="FFD6DBE0"/>
      </right>
      <top/>
      <bottom style="thin">
        <color rgb="FFD6DBE0"/>
      </bottom>
      <diagonal/>
    </border>
    <border>
      <left style="thin">
        <color rgb="FFFF6600"/>
      </left>
      <right style="thin">
        <color rgb="FFFF6600"/>
      </right>
      <top style="thin">
        <color rgb="FFFF6600"/>
      </top>
      <bottom style="thin">
        <color rgb="FFD6DBE0"/>
      </bottom>
      <diagonal/>
    </border>
    <border>
      <left style="thin">
        <color rgb="FFFF6600"/>
      </left>
      <right style="thin">
        <color rgb="FFFF6600"/>
      </right>
      <top style="thin">
        <color rgb="FFB6B6B6"/>
      </top>
      <bottom style="thin">
        <color rgb="FFFF6600"/>
      </bottom>
      <diagonal/>
    </border>
    <border>
      <left style="thin">
        <color auto="1"/>
      </left>
      <right style="thin">
        <color auto="1"/>
      </right>
      <top/>
      <bottom style="thin">
        <color auto="1"/>
      </bottom>
      <diagonal/>
    </border>
    <border>
      <left/>
      <right style="thin">
        <color rgb="FFB6B6B6"/>
      </right>
      <top style="double">
        <color rgb="FFB6B6B6"/>
      </top>
      <bottom/>
      <diagonal/>
    </border>
    <border>
      <left style="thin">
        <color rgb="FFD6DBE0"/>
      </left>
      <right/>
      <top/>
      <bottom/>
      <diagonal/>
    </border>
    <border>
      <left style="double">
        <color rgb="FFFF6600"/>
      </left>
      <right/>
      <top style="double">
        <color rgb="FFFF6600"/>
      </top>
      <bottom/>
      <diagonal/>
    </border>
    <border>
      <left/>
      <right/>
      <top style="double">
        <color rgb="FFFF6600"/>
      </top>
      <bottom/>
      <diagonal/>
    </border>
    <border>
      <left/>
      <right style="double">
        <color rgb="FFFF6600"/>
      </right>
      <top style="double">
        <color rgb="FFFF6600"/>
      </top>
      <bottom/>
      <diagonal/>
    </border>
    <border>
      <left style="double">
        <color rgb="FFFF6600"/>
      </left>
      <right/>
      <top/>
      <bottom/>
      <diagonal/>
    </border>
    <border>
      <left/>
      <right style="double">
        <color rgb="FFFF6600"/>
      </right>
      <top/>
      <bottom/>
      <diagonal/>
    </border>
    <border>
      <left style="double">
        <color rgb="FFFF6600"/>
      </left>
      <right/>
      <top/>
      <bottom style="double">
        <color rgb="FFFF6600"/>
      </bottom>
      <diagonal/>
    </border>
    <border>
      <left/>
      <right/>
      <top/>
      <bottom style="double">
        <color rgb="FFFF6600"/>
      </bottom>
      <diagonal/>
    </border>
    <border>
      <left/>
      <right style="double">
        <color rgb="FFFF6600"/>
      </right>
      <top/>
      <bottom style="double">
        <color rgb="FFFF6600"/>
      </bottom>
      <diagonal/>
    </border>
    <border>
      <left style="thin">
        <color theme="0" tint="-0.24994659260841701"/>
      </left>
      <right style="thin">
        <color theme="0" tint="-0.24994659260841701"/>
      </right>
      <top style="thin">
        <color theme="0" tint="-4.9989318521683403E-2"/>
      </top>
      <bottom style="thin">
        <color theme="0" tint="-4.9989318521683403E-2"/>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bottom style="thin">
        <color theme="0" tint="-0.14996795556505021"/>
      </bottom>
      <diagonal/>
    </border>
    <border>
      <left/>
      <right/>
      <top style="thin">
        <color theme="0" tint="-0.14996795556505021"/>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s>
  <cellStyleXfs count="7">
    <xf numFmtId="0" fontId="0" fillId="0" borderId="0"/>
    <xf numFmtId="0" fontId="6" fillId="0" borderId="0"/>
    <xf numFmtId="9" fontId="6" fillId="0" borderId="0" applyFont="0" applyFill="0" applyBorder="0" applyAlignment="0" applyProtection="0"/>
    <xf numFmtId="0" fontId="17" fillId="0" borderId="0"/>
    <xf numFmtId="9" fontId="8" fillId="0" borderId="0" applyFont="0" applyFill="0" applyBorder="0" applyAlignment="0" applyProtection="0"/>
    <xf numFmtId="0" fontId="5" fillId="0" borderId="0"/>
    <xf numFmtId="0" fontId="8" fillId="0" borderId="0"/>
  </cellStyleXfs>
  <cellXfs count="351">
    <xf numFmtId="0" fontId="0" fillId="0" borderId="0" xfId="0"/>
    <xf numFmtId="0" fontId="7" fillId="2" borderId="0" xfId="1" applyFont="1" applyFill="1"/>
    <xf numFmtId="0" fontId="7" fillId="2" borderId="0" xfId="1" applyFont="1" applyFill="1" applyAlignment="1">
      <alignment horizontal="center"/>
    </xf>
    <xf numFmtId="2" fontId="9" fillId="2" borderId="5" xfId="0" applyNumberFormat="1" applyFont="1" applyFill="1" applyBorder="1" applyAlignment="1" applyProtection="1">
      <alignment horizontal="center"/>
      <protection locked="0"/>
    </xf>
    <xf numFmtId="0" fontId="9" fillId="3" borderId="6" xfId="0" applyFont="1" applyFill="1" applyBorder="1" applyAlignment="1">
      <alignment horizontal="center"/>
    </xf>
    <xf numFmtId="0" fontId="7" fillId="4" borderId="0" xfId="1" applyFont="1" applyFill="1"/>
    <xf numFmtId="0" fontId="8" fillId="3" borderId="8" xfId="0" applyFont="1" applyFill="1" applyBorder="1" applyAlignment="1">
      <alignment horizontal="left" indent="1"/>
    </xf>
    <xf numFmtId="0" fontId="9" fillId="2" borderId="9" xfId="0" applyFont="1" applyFill="1" applyBorder="1" applyAlignment="1" applyProtection="1">
      <alignment horizontal="center"/>
      <protection locked="0"/>
    </xf>
    <xf numFmtId="0" fontId="9" fillId="3" borderId="10" xfId="0" applyFont="1" applyFill="1" applyBorder="1" applyAlignment="1">
      <alignment horizontal="center"/>
    </xf>
    <xf numFmtId="0" fontId="8" fillId="3" borderId="11" xfId="0" applyFont="1" applyFill="1" applyBorder="1"/>
    <xf numFmtId="0" fontId="8" fillId="3" borderId="12" xfId="0" applyFont="1" applyFill="1" applyBorder="1" applyAlignment="1">
      <alignment horizontal="left" indent="1"/>
    </xf>
    <xf numFmtId="0" fontId="9" fillId="3" borderId="13" xfId="0" applyFont="1" applyFill="1" applyBorder="1" applyAlignment="1">
      <alignment horizontal="center"/>
    </xf>
    <xf numFmtId="0" fontId="9" fillId="3" borderId="11" xfId="0" applyFont="1" applyFill="1" applyBorder="1"/>
    <xf numFmtId="0" fontId="9" fillId="3" borderId="12" xfId="0" applyFont="1" applyFill="1" applyBorder="1" applyAlignment="1">
      <alignment horizontal="left" indent="1"/>
    </xf>
    <xf numFmtId="0" fontId="9" fillId="3" borderId="14" xfId="0" applyFont="1" applyFill="1" applyBorder="1" applyAlignment="1">
      <alignment horizontal="center"/>
    </xf>
    <xf numFmtId="0" fontId="8" fillId="3" borderId="15" xfId="0" applyFont="1" applyFill="1" applyBorder="1"/>
    <xf numFmtId="0" fontId="8" fillId="3" borderId="16" xfId="0" applyFont="1" applyFill="1" applyBorder="1" applyAlignment="1">
      <alignment horizontal="left" indent="1"/>
    </xf>
    <xf numFmtId="9" fontId="9" fillId="3" borderId="10" xfId="2" applyFont="1" applyFill="1" applyBorder="1" applyAlignment="1" applyProtection="1">
      <alignment horizontal="center"/>
    </xf>
    <xf numFmtId="0" fontId="7" fillId="4" borderId="0" xfId="1" applyFont="1" applyFill="1" applyAlignment="1">
      <alignment horizontal="center"/>
    </xf>
    <xf numFmtId="9" fontId="8" fillId="3" borderId="17" xfId="2" applyFont="1" applyFill="1" applyBorder="1" applyAlignment="1" applyProtection="1"/>
    <xf numFmtId="9" fontId="8" fillId="3" borderId="18" xfId="2" applyFont="1" applyFill="1" applyBorder="1" applyAlignment="1" applyProtection="1">
      <alignment horizontal="left" indent="1"/>
    </xf>
    <xf numFmtId="0" fontId="9" fillId="3" borderId="20" xfId="0" applyFont="1" applyFill="1" applyBorder="1" applyAlignment="1">
      <alignment horizontal="center"/>
    </xf>
    <xf numFmtId="1" fontId="9" fillId="3" borderId="6" xfId="1" applyNumberFormat="1" applyFont="1" applyFill="1" applyBorder="1" applyAlignment="1">
      <alignment horizontal="left"/>
    </xf>
    <xf numFmtId="1" fontId="9" fillId="3" borderId="6" xfId="1" applyNumberFormat="1" applyFont="1" applyFill="1" applyBorder="1" applyAlignment="1">
      <alignment horizontal="center"/>
    </xf>
    <xf numFmtId="0" fontId="9" fillId="2" borderId="21" xfId="1" applyFont="1" applyFill="1" applyBorder="1" applyAlignment="1">
      <alignment horizontal="center"/>
    </xf>
    <xf numFmtId="1" fontId="9" fillId="3" borderId="22" xfId="1" applyNumberFormat="1" applyFont="1" applyFill="1" applyBorder="1" applyAlignment="1">
      <alignment horizontal="center"/>
    </xf>
    <xf numFmtId="0" fontId="9" fillId="3" borderId="22" xfId="1" applyFont="1" applyFill="1" applyBorder="1" applyAlignment="1">
      <alignment horizontal="center"/>
    </xf>
    <xf numFmtId="1" fontId="10" fillId="3" borderId="6" xfId="1" applyNumberFormat="1" applyFont="1" applyFill="1" applyBorder="1" applyAlignment="1">
      <alignment horizontal="left"/>
    </xf>
    <xf numFmtId="1" fontId="9" fillId="3" borderId="0" xfId="1" applyNumberFormat="1" applyFont="1" applyFill="1" applyAlignment="1">
      <alignment horizontal="center"/>
    </xf>
    <xf numFmtId="0" fontId="10" fillId="4" borderId="0" xfId="1" applyFont="1" applyFill="1" applyAlignment="1">
      <alignment horizontal="center"/>
    </xf>
    <xf numFmtId="9" fontId="9" fillId="3" borderId="6" xfId="2" applyFont="1" applyFill="1" applyBorder="1" applyAlignment="1" applyProtection="1">
      <alignment horizontal="center"/>
    </xf>
    <xf numFmtId="164" fontId="9" fillId="2" borderId="5" xfId="2" applyNumberFormat="1" applyFont="1" applyFill="1" applyBorder="1" applyAlignment="1" applyProtection="1">
      <alignment horizontal="center"/>
      <protection locked="0"/>
    </xf>
    <xf numFmtId="1" fontId="9" fillId="3" borderId="24" xfId="1" applyNumberFormat="1" applyFont="1" applyFill="1" applyBorder="1" applyAlignment="1">
      <alignment horizontal="center"/>
    </xf>
    <xf numFmtId="0" fontId="9" fillId="4" borderId="0" xfId="1" applyFont="1" applyFill="1" applyAlignment="1">
      <alignment horizontal="center"/>
    </xf>
    <xf numFmtId="1" fontId="9" fillId="3" borderId="26" xfId="1" applyNumberFormat="1" applyFont="1" applyFill="1" applyBorder="1" applyAlignment="1">
      <alignment horizontal="center"/>
    </xf>
    <xf numFmtId="9" fontId="8" fillId="3" borderId="22" xfId="1" applyNumberFormat="1" applyFont="1" applyFill="1" applyBorder="1" applyAlignment="1">
      <alignment horizontal="center"/>
    </xf>
    <xf numFmtId="2" fontId="9" fillId="3" borderId="29" xfId="1" applyNumberFormat="1" applyFont="1" applyFill="1" applyBorder="1" applyAlignment="1">
      <alignment horizontal="center"/>
    </xf>
    <xf numFmtId="9" fontId="8" fillId="3" borderId="30" xfId="1" applyNumberFormat="1" applyFont="1" applyFill="1" applyBorder="1" applyAlignment="1">
      <alignment horizontal="center"/>
    </xf>
    <xf numFmtId="9" fontId="8" fillId="3" borderId="31" xfId="1" applyNumberFormat="1" applyFont="1" applyFill="1" applyBorder="1" applyAlignment="1">
      <alignment horizontal="center"/>
    </xf>
    <xf numFmtId="1" fontId="8" fillId="3" borderId="22" xfId="1" applyNumberFormat="1" applyFont="1" applyFill="1" applyBorder="1" applyAlignment="1">
      <alignment horizontal="center"/>
    </xf>
    <xf numFmtId="9" fontId="8" fillId="3" borderId="32" xfId="1" applyNumberFormat="1" applyFont="1" applyFill="1" applyBorder="1" applyAlignment="1">
      <alignment horizontal="center"/>
    </xf>
    <xf numFmtId="2" fontId="9" fillId="3" borderId="33" xfId="1" applyNumberFormat="1" applyFont="1" applyFill="1" applyBorder="1" applyAlignment="1">
      <alignment horizontal="center"/>
    </xf>
    <xf numFmtId="1" fontId="9" fillId="2" borderId="26" xfId="1" applyNumberFormat="1" applyFont="1" applyFill="1" applyBorder="1" applyAlignment="1" applyProtection="1">
      <alignment horizontal="center"/>
      <protection locked="0"/>
    </xf>
    <xf numFmtId="9" fontId="9" fillId="2" borderId="34" xfId="1" applyNumberFormat="1" applyFont="1" applyFill="1" applyBorder="1" applyAlignment="1" applyProtection="1">
      <alignment horizontal="center"/>
      <protection locked="0"/>
    </xf>
    <xf numFmtId="2" fontId="9" fillId="3" borderId="34" xfId="1" applyNumberFormat="1" applyFont="1" applyFill="1" applyBorder="1" applyAlignment="1">
      <alignment horizontal="center"/>
    </xf>
    <xf numFmtId="9" fontId="9" fillId="3" borderId="24" xfId="2" applyFont="1" applyFill="1" applyBorder="1" applyAlignment="1" applyProtection="1">
      <alignment horizontal="center"/>
    </xf>
    <xf numFmtId="2" fontId="9" fillId="3" borderId="24" xfId="1" applyNumberFormat="1" applyFont="1" applyFill="1" applyBorder="1" applyAlignment="1">
      <alignment horizontal="center"/>
    </xf>
    <xf numFmtId="0" fontId="9" fillId="2" borderId="0" xfId="1" applyFont="1" applyFill="1"/>
    <xf numFmtId="0" fontId="9" fillId="2" borderId="1" xfId="1" applyFont="1" applyFill="1" applyBorder="1"/>
    <xf numFmtId="0" fontId="9" fillId="4" borderId="0" xfId="1" applyFont="1" applyFill="1"/>
    <xf numFmtId="0" fontId="14" fillId="5" borderId="38" xfId="1" applyFont="1" applyFill="1" applyBorder="1"/>
    <xf numFmtId="0" fontId="15" fillId="5" borderId="39" xfId="1" applyFont="1" applyFill="1" applyBorder="1"/>
    <xf numFmtId="0" fontId="15" fillId="5" borderId="40" xfId="1" applyFont="1" applyFill="1" applyBorder="1"/>
    <xf numFmtId="0" fontId="9" fillId="3" borderId="22" xfId="1" applyFont="1" applyFill="1" applyBorder="1" applyAlignment="1">
      <alignment horizontal="center" vertical="center"/>
    </xf>
    <xf numFmtId="0" fontId="10" fillId="4" borderId="0" xfId="1" applyFont="1" applyFill="1" applyAlignment="1">
      <alignment horizontal="left"/>
    </xf>
    <xf numFmtId="0" fontId="10" fillId="4" borderId="0" xfId="1" applyFont="1" applyFill="1"/>
    <xf numFmtId="0" fontId="9" fillId="3" borderId="6" xfId="1" applyFont="1" applyFill="1" applyBorder="1" applyAlignment="1">
      <alignment horizontal="center"/>
    </xf>
    <xf numFmtId="166" fontId="9" fillId="3" borderId="6" xfId="2" applyNumberFormat="1" applyFont="1" applyFill="1" applyBorder="1" applyAlignment="1" applyProtection="1">
      <alignment horizontal="center"/>
    </xf>
    <xf numFmtId="166" fontId="9" fillId="3" borderId="6" xfId="1" applyNumberFormat="1" applyFont="1" applyFill="1" applyBorder="1" applyAlignment="1">
      <alignment horizontal="center"/>
    </xf>
    <xf numFmtId="167" fontId="10" fillId="3" borderId="22" xfId="1" applyNumberFormat="1" applyFont="1" applyFill="1" applyBorder="1" applyAlignment="1">
      <alignment horizontal="center"/>
    </xf>
    <xf numFmtId="0" fontId="10" fillId="4" borderId="0" xfId="1" applyFont="1" applyFill="1" applyAlignment="1">
      <alignment horizontal="center" vertical="center"/>
    </xf>
    <xf numFmtId="1" fontId="9" fillId="3" borderId="6" xfId="2" applyNumberFormat="1" applyFont="1" applyFill="1" applyBorder="1" applyAlignment="1" applyProtection="1">
      <alignment horizontal="center"/>
    </xf>
    <xf numFmtId="49" fontId="9" fillId="4" borderId="0" xfId="1" applyNumberFormat="1" applyFont="1" applyFill="1"/>
    <xf numFmtId="1" fontId="9" fillId="4" borderId="0" xfId="1" applyNumberFormat="1" applyFont="1" applyFill="1"/>
    <xf numFmtId="0" fontId="15" fillId="5" borderId="41" xfId="1" applyFont="1" applyFill="1" applyBorder="1"/>
    <xf numFmtId="0" fontId="9" fillId="4" borderId="0" xfId="1" applyFont="1" applyFill="1" applyAlignment="1">
      <alignment wrapText="1"/>
    </xf>
    <xf numFmtId="1" fontId="9" fillId="4" borderId="0" xfId="1" applyNumberFormat="1" applyFont="1" applyFill="1" applyAlignment="1">
      <alignment horizontal="center"/>
    </xf>
    <xf numFmtId="0" fontId="14" fillId="0" borderId="0" xfId="1" applyFont="1"/>
    <xf numFmtId="0" fontId="15" fillId="0" borderId="0" xfId="1" applyFont="1"/>
    <xf numFmtId="0" fontId="9" fillId="0" borderId="0" xfId="1" applyFont="1" applyAlignment="1">
      <alignment horizontal="center"/>
    </xf>
    <xf numFmtId="0" fontId="9" fillId="2" borderId="42" xfId="1" applyFont="1" applyFill="1" applyBorder="1" applyAlignment="1">
      <alignment horizontal="center" vertical="center"/>
    </xf>
    <xf numFmtId="0" fontId="9" fillId="2" borderId="0" xfId="1" applyFont="1" applyFill="1" applyAlignment="1">
      <alignment horizontal="center"/>
    </xf>
    <xf numFmtId="2" fontId="9" fillId="2" borderId="0" xfId="1" applyNumberFormat="1" applyFont="1" applyFill="1" applyAlignment="1">
      <alignment horizontal="center"/>
    </xf>
    <xf numFmtId="0" fontId="9" fillId="0" borderId="46" xfId="3" applyFont="1" applyBorder="1"/>
    <xf numFmtId="0" fontId="9" fillId="7" borderId="46" xfId="3" applyFont="1" applyFill="1" applyBorder="1"/>
    <xf numFmtId="0" fontId="9" fillId="8" borderId="46" xfId="3" applyFont="1" applyFill="1" applyBorder="1"/>
    <xf numFmtId="0" fontId="9" fillId="9" borderId="46" xfId="3" applyFont="1" applyFill="1" applyBorder="1"/>
    <xf numFmtId="0" fontId="11" fillId="9" borderId="46" xfId="3" applyFont="1" applyFill="1" applyBorder="1"/>
    <xf numFmtId="0" fontId="11" fillId="9" borderId="46" xfId="0" applyFont="1" applyFill="1" applyBorder="1" applyAlignment="1">
      <alignment horizontal="center"/>
    </xf>
    <xf numFmtId="2" fontId="9" fillId="0" borderId="46" xfId="3" applyNumberFormat="1" applyFont="1" applyBorder="1"/>
    <xf numFmtId="2" fontId="9" fillId="7" borderId="46" xfId="3" applyNumberFormat="1" applyFont="1" applyFill="1" applyBorder="1"/>
    <xf numFmtId="0" fontId="9" fillId="8" borderId="46" xfId="3" applyFont="1" applyFill="1" applyBorder="1" applyAlignment="1">
      <alignment horizontal="center"/>
    </xf>
    <xf numFmtId="0" fontId="9" fillId="10" borderId="46" xfId="3" applyFont="1" applyFill="1" applyBorder="1" applyAlignment="1">
      <alignment horizontal="center"/>
    </xf>
    <xf numFmtId="0" fontId="0" fillId="9" borderId="46" xfId="0" applyFill="1" applyBorder="1"/>
    <xf numFmtId="0" fontId="9" fillId="10" borderId="46" xfId="3" applyFont="1" applyFill="1" applyBorder="1"/>
    <xf numFmtId="2" fontId="19" fillId="0" borderId="46" xfId="3" applyNumberFormat="1" applyFont="1" applyBorder="1"/>
    <xf numFmtId="2" fontId="19" fillId="7" borderId="46" xfId="3" applyNumberFormat="1" applyFont="1" applyFill="1" applyBorder="1"/>
    <xf numFmtId="1" fontId="10" fillId="11" borderId="46" xfId="3" applyNumberFormat="1" applyFont="1" applyFill="1" applyBorder="1" applyAlignment="1">
      <alignment horizontal="center"/>
    </xf>
    <xf numFmtId="0" fontId="11" fillId="12" borderId="46" xfId="0" applyFont="1" applyFill="1" applyBorder="1" applyAlignment="1">
      <alignment horizontal="center"/>
    </xf>
    <xf numFmtId="1" fontId="9" fillId="11" borderId="46" xfId="3" applyNumberFormat="1" applyFont="1" applyFill="1" applyBorder="1"/>
    <xf numFmtId="0" fontId="11" fillId="8" borderId="46" xfId="3" applyFont="1" applyFill="1" applyBorder="1" applyAlignment="1">
      <alignment horizontal="center"/>
    </xf>
    <xf numFmtId="0" fontId="11" fillId="10" borderId="46" xfId="3" applyFont="1" applyFill="1" applyBorder="1" applyAlignment="1">
      <alignment horizontal="center"/>
    </xf>
    <xf numFmtId="0" fontId="8" fillId="10" borderId="46" xfId="3" applyFont="1" applyFill="1" applyBorder="1"/>
    <xf numFmtId="1" fontId="9" fillId="0" borderId="46" xfId="3" applyNumberFormat="1" applyFont="1" applyBorder="1"/>
    <xf numFmtId="164" fontId="9" fillId="8" borderId="46" xfId="3" applyNumberFormat="1" applyFont="1" applyFill="1" applyBorder="1"/>
    <xf numFmtId="164" fontId="9" fillId="9" borderId="46" xfId="3" applyNumberFormat="1" applyFont="1" applyFill="1" applyBorder="1"/>
    <xf numFmtId="4" fontId="9" fillId="8" borderId="46" xfId="3" applyNumberFormat="1" applyFont="1" applyFill="1" applyBorder="1"/>
    <xf numFmtId="4" fontId="9" fillId="10" borderId="46" xfId="3" applyNumberFormat="1" applyFont="1" applyFill="1" applyBorder="1"/>
    <xf numFmtId="3" fontId="0" fillId="9" borderId="46" xfId="0" applyNumberFormat="1" applyFill="1" applyBorder="1"/>
    <xf numFmtId="164" fontId="9" fillId="0" borderId="46" xfId="3" applyNumberFormat="1" applyFont="1" applyBorder="1"/>
    <xf numFmtId="4" fontId="0" fillId="0" borderId="0" xfId="0" applyNumberFormat="1"/>
    <xf numFmtId="0" fontId="20" fillId="3" borderId="7" xfId="0" applyFont="1" applyFill="1" applyBorder="1"/>
    <xf numFmtId="0" fontId="20" fillId="3" borderId="15" xfId="0" applyFont="1" applyFill="1" applyBorder="1"/>
    <xf numFmtId="3" fontId="9" fillId="3" borderId="32" xfId="1" applyNumberFormat="1" applyFont="1" applyFill="1" applyBorder="1" applyAlignment="1">
      <alignment horizontal="center"/>
    </xf>
    <xf numFmtId="3" fontId="9" fillId="3" borderId="22" xfId="1" applyNumberFormat="1" applyFont="1" applyFill="1" applyBorder="1" applyAlignment="1">
      <alignment horizontal="center"/>
    </xf>
    <xf numFmtId="1" fontId="9" fillId="0" borderId="0" xfId="1" applyNumberFormat="1" applyFont="1" applyAlignment="1">
      <alignment horizontal="center"/>
    </xf>
    <xf numFmtId="167" fontId="10" fillId="3" borderId="26" xfId="1" applyNumberFormat="1" applyFont="1" applyFill="1" applyBorder="1" applyAlignment="1">
      <alignment horizontal="center"/>
    </xf>
    <xf numFmtId="1" fontId="9" fillId="3" borderId="31" xfId="1" applyNumberFormat="1" applyFont="1" applyFill="1" applyBorder="1" applyAlignment="1">
      <alignment horizontal="center"/>
    </xf>
    <xf numFmtId="3" fontId="9" fillId="4" borderId="0" xfId="1" applyNumberFormat="1" applyFont="1" applyFill="1"/>
    <xf numFmtId="3" fontId="9" fillId="3" borderId="49" xfId="1" applyNumberFormat="1" applyFont="1" applyFill="1" applyBorder="1" applyAlignment="1">
      <alignment horizontal="center"/>
    </xf>
    <xf numFmtId="3" fontId="9" fillId="4" borderId="0" xfId="1" applyNumberFormat="1" applyFont="1" applyFill="1" applyAlignment="1">
      <alignment horizontal="center"/>
    </xf>
    <xf numFmtId="166" fontId="9" fillId="4" borderId="0" xfId="1" applyNumberFormat="1" applyFont="1" applyFill="1" applyAlignment="1">
      <alignment horizontal="center"/>
    </xf>
    <xf numFmtId="3" fontId="9" fillId="0" borderId="0" xfId="1" applyNumberFormat="1" applyFont="1" applyAlignment="1">
      <alignment horizontal="center"/>
    </xf>
    <xf numFmtId="0" fontId="9" fillId="0" borderId="0" xfId="1" applyFont="1"/>
    <xf numFmtId="0" fontId="10" fillId="0" borderId="0" xfId="1" applyFont="1" applyAlignment="1">
      <alignment horizontal="center"/>
    </xf>
    <xf numFmtId="166" fontId="9" fillId="0" borderId="0" xfId="1" applyNumberFormat="1" applyFont="1" applyAlignment="1">
      <alignment horizontal="center"/>
    </xf>
    <xf numFmtId="3" fontId="9" fillId="0" borderId="0" xfId="4" applyNumberFormat="1" applyFont="1" applyFill="1" applyBorder="1" applyAlignment="1">
      <alignment horizontal="center"/>
    </xf>
    <xf numFmtId="166" fontId="9" fillId="0" borderId="0" xfId="2" applyNumberFormat="1" applyFont="1" applyFill="1" applyBorder="1" applyAlignment="1" applyProtection="1">
      <alignment horizontal="center"/>
    </xf>
    <xf numFmtId="9" fontId="9" fillId="0" borderId="0" xfId="4" applyFont="1" applyFill="1" applyBorder="1" applyAlignment="1">
      <alignment horizontal="center"/>
    </xf>
    <xf numFmtId="3" fontId="9" fillId="3" borderId="6" xfId="1" applyNumberFormat="1" applyFont="1" applyFill="1" applyBorder="1" applyAlignment="1">
      <alignment horizontal="center"/>
    </xf>
    <xf numFmtId="9" fontId="9" fillId="3" borderId="51" xfId="4" applyFont="1" applyFill="1" applyBorder="1" applyAlignment="1">
      <alignment horizontal="center"/>
    </xf>
    <xf numFmtId="3" fontId="9" fillId="3" borderId="51" xfId="4" applyNumberFormat="1" applyFont="1" applyFill="1" applyBorder="1" applyAlignment="1">
      <alignment horizontal="center"/>
    </xf>
    <xf numFmtId="167" fontId="10" fillId="3" borderId="51" xfId="1" applyNumberFormat="1" applyFont="1" applyFill="1" applyBorder="1" applyAlignment="1">
      <alignment horizontal="center"/>
    </xf>
    <xf numFmtId="0" fontId="21" fillId="0" borderId="0" xfId="5" applyFont="1"/>
    <xf numFmtId="0" fontId="21" fillId="0" borderId="0" xfId="5" applyFont="1" applyAlignment="1">
      <alignment wrapText="1"/>
    </xf>
    <xf numFmtId="0" fontId="8" fillId="0" borderId="0" xfId="6"/>
    <xf numFmtId="0" fontId="5" fillId="0" borderId="0" xfId="5"/>
    <xf numFmtId="0" fontId="0" fillId="0" borderId="0" xfId="5" applyFont="1"/>
    <xf numFmtId="0" fontId="0" fillId="0" borderId="0" xfId="5" applyFont="1" applyAlignment="1">
      <alignment wrapText="1"/>
    </xf>
    <xf numFmtId="0" fontId="5" fillId="0" borderId="0" xfId="5" applyAlignment="1">
      <alignment wrapText="1"/>
    </xf>
    <xf numFmtId="0" fontId="8" fillId="0" borderId="0" xfId="6" applyAlignment="1">
      <alignment wrapText="1"/>
    </xf>
    <xf numFmtId="9" fontId="9" fillId="2" borderId="53" xfId="2" applyFont="1" applyFill="1" applyBorder="1" applyAlignment="1" applyProtection="1">
      <alignment horizontal="center"/>
      <protection locked="0"/>
    </xf>
    <xf numFmtId="1" fontId="9" fillId="2" borderId="12" xfId="1" applyNumberFormat="1" applyFont="1" applyFill="1" applyBorder="1" applyAlignment="1" applyProtection="1">
      <alignment horizontal="center"/>
      <protection locked="0"/>
    </xf>
    <xf numFmtId="1" fontId="9" fillId="2" borderId="54" xfId="1" applyNumberFormat="1" applyFont="1" applyFill="1" applyBorder="1" applyAlignment="1">
      <alignment horizontal="center"/>
    </xf>
    <xf numFmtId="0" fontId="7" fillId="0" borderId="0" xfId="1" applyFont="1"/>
    <xf numFmtId="0" fontId="7" fillId="0" borderId="0" xfId="1" applyFont="1" applyAlignment="1">
      <alignment horizontal="center"/>
    </xf>
    <xf numFmtId="0" fontId="7" fillId="0" borderId="0" xfId="1" applyFont="1" applyAlignment="1">
      <alignment vertical="center"/>
    </xf>
    <xf numFmtId="0" fontId="7" fillId="0" borderId="0" xfId="1" applyFont="1" applyAlignment="1">
      <alignment horizontal="center" vertical="center"/>
    </xf>
    <xf numFmtId="1" fontId="10" fillId="2" borderId="0" xfId="1" applyNumberFormat="1" applyFont="1" applyFill="1" applyAlignment="1">
      <alignment horizontal="right"/>
    </xf>
    <xf numFmtId="165" fontId="7" fillId="2" borderId="0" xfId="1" applyNumberFormat="1" applyFont="1" applyFill="1"/>
    <xf numFmtId="2" fontId="11" fillId="2" borderId="0" xfId="1" applyNumberFormat="1" applyFont="1" applyFill="1"/>
    <xf numFmtId="0" fontId="13" fillId="2" borderId="0" xfId="1" applyFont="1" applyFill="1"/>
    <xf numFmtId="9" fontId="8" fillId="2" borderId="0" xfId="2" applyFont="1" applyFill="1" applyBorder="1" applyAlignment="1" applyProtection="1"/>
    <xf numFmtId="9" fontId="8" fillId="2" borderId="0" xfId="2" applyFont="1" applyFill="1" applyBorder="1" applyAlignment="1" applyProtection="1">
      <alignment horizontal="left" indent="1"/>
    </xf>
    <xf numFmtId="0" fontId="9" fillId="2" borderId="0" xfId="0" applyFont="1" applyFill="1" applyAlignment="1" applyProtection="1">
      <alignment horizontal="center"/>
      <protection locked="0"/>
    </xf>
    <xf numFmtId="0" fontId="9" fillId="2" borderId="0" xfId="0" applyFont="1" applyFill="1" applyAlignment="1">
      <alignment horizontal="center"/>
    </xf>
    <xf numFmtId="0" fontId="7" fillId="2" borderId="0" xfId="1" applyFont="1" applyFill="1" applyAlignment="1">
      <alignment horizontal="left"/>
    </xf>
    <xf numFmtId="0" fontId="16" fillId="4" borderId="0" xfId="1" applyFont="1" applyFill="1" applyAlignment="1">
      <alignment horizontal="center"/>
    </xf>
    <xf numFmtId="0" fontId="16" fillId="4" borderId="0" xfId="1" applyFont="1" applyFill="1" applyAlignment="1">
      <alignment horizontal="left"/>
    </xf>
    <xf numFmtId="0" fontId="15" fillId="4" borderId="0" xfId="1" applyFont="1" applyFill="1"/>
    <xf numFmtId="1" fontId="15" fillId="0" borderId="0" xfId="1" applyNumberFormat="1" applyFont="1" applyAlignment="1">
      <alignment horizontal="center"/>
    </xf>
    <xf numFmtId="166" fontId="15" fillId="0" borderId="0" xfId="1" applyNumberFormat="1" applyFont="1" applyAlignment="1">
      <alignment horizontal="center"/>
    </xf>
    <xf numFmtId="0" fontId="4" fillId="0" borderId="0" xfId="5" applyFont="1"/>
    <xf numFmtId="0" fontId="3" fillId="0" borderId="0" xfId="5" applyFont="1"/>
    <xf numFmtId="0" fontId="3" fillId="0" borderId="0" xfId="5" applyFont="1" applyAlignment="1">
      <alignment wrapText="1"/>
    </xf>
    <xf numFmtId="2" fontId="9" fillId="2" borderId="22" xfId="1" applyNumberFormat="1" applyFont="1" applyFill="1" applyBorder="1" applyAlignment="1">
      <alignment horizontal="center"/>
    </xf>
    <xf numFmtId="0" fontId="9" fillId="2" borderId="9" xfId="0" applyFont="1" applyFill="1" applyBorder="1" applyAlignment="1">
      <alignment horizontal="center"/>
    </xf>
    <xf numFmtId="1" fontId="10" fillId="2" borderId="0" xfId="1" applyNumberFormat="1" applyFont="1" applyFill="1" applyAlignment="1">
      <alignment horizontal="center"/>
    </xf>
    <xf numFmtId="0" fontId="7" fillId="18" borderId="0" xfId="1" applyFont="1" applyFill="1"/>
    <xf numFmtId="0" fontId="7" fillId="18" borderId="0" xfId="1" applyFont="1" applyFill="1" applyAlignment="1">
      <alignment horizontal="center"/>
    </xf>
    <xf numFmtId="0" fontId="12" fillId="18" borderId="0" xfId="1" applyFont="1" applyFill="1" applyAlignment="1">
      <alignment vertical="center"/>
    </xf>
    <xf numFmtId="0" fontId="7" fillId="18" borderId="0" xfId="1" applyFont="1" applyFill="1" applyAlignment="1">
      <alignment vertical="center"/>
    </xf>
    <xf numFmtId="0" fontId="7" fillId="18" borderId="0" xfId="1" applyFont="1" applyFill="1" applyAlignment="1">
      <alignment horizontal="center" vertical="center"/>
    </xf>
    <xf numFmtId="0" fontId="11" fillId="19" borderId="46" xfId="3" applyFont="1" applyFill="1" applyBorder="1"/>
    <xf numFmtId="0" fontId="0" fillId="18" borderId="0" xfId="0" applyFill="1"/>
    <xf numFmtId="164" fontId="9" fillId="3" borderId="31" xfId="2" applyNumberFormat="1" applyFont="1" applyFill="1" applyBorder="1" applyAlignment="1" applyProtection="1">
      <alignment horizontal="center"/>
    </xf>
    <xf numFmtId="9" fontId="7" fillId="3" borderId="56" xfId="1" applyNumberFormat="1" applyFont="1" applyFill="1" applyBorder="1" applyAlignment="1">
      <alignment horizontal="center" vertical="center"/>
    </xf>
    <xf numFmtId="0" fontId="2" fillId="0" borderId="0" xfId="5" applyFont="1"/>
    <xf numFmtId="0" fontId="9" fillId="4" borderId="0" xfId="1" applyFont="1" applyFill="1" applyAlignment="1">
      <alignment horizontal="left"/>
    </xf>
    <xf numFmtId="1" fontId="9" fillId="4" borderId="0" xfId="1" applyNumberFormat="1" applyFont="1" applyFill="1" applyAlignment="1">
      <alignment horizontal="left"/>
    </xf>
    <xf numFmtId="0" fontId="9" fillId="3" borderId="0" xfId="1" applyFont="1" applyFill="1" applyAlignment="1">
      <alignment horizontal="center"/>
    </xf>
    <xf numFmtId="0" fontId="25" fillId="18" borderId="58" xfId="0" applyFont="1" applyFill="1" applyBorder="1"/>
    <xf numFmtId="0" fontId="0" fillId="18" borderId="59" xfId="0" applyFill="1" applyBorder="1"/>
    <xf numFmtId="0" fontId="0" fillId="18" borderId="60" xfId="0" applyFill="1" applyBorder="1"/>
    <xf numFmtId="0" fontId="24" fillId="18" borderId="61" xfId="0" applyFont="1" applyFill="1" applyBorder="1"/>
    <xf numFmtId="0" fontId="0" fillId="18" borderId="62" xfId="0" applyFill="1" applyBorder="1"/>
    <xf numFmtId="0" fontId="24" fillId="18" borderId="63" xfId="0" applyFont="1" applyFill="1" applyBorder="1"/>
    <xf numFmtId="0" fontId="0" fillId="18" borderId="64" xfId="0" applyFill="1" applyBorder="1"/>
    <xf numFmtId="0" fontId="0" fillId="18" borderId="65" xfId="0" applyFill="1" applyBorder="1"/>
    <xf numFmtId="0" fontId="9" fillId="0" borderId="55" xfId="3" applyFont="1" applyBorder="1"/>
    <xf numFmtId="0" fontId="11" fillId="10" borderId="55" xfId="3" applyFont="1" applyFill="1" applyBorder="1"/>
    <xf numFmtId="0" fontId="9" fillId="7" borderId="55" xfId="3" applyFont="1" applyFill="1" applyBorder="1"/>
    <xf numFmtId="0" fontId="9" fillId="10" borderId="55" xfId="3" applyFont="1" applyFill="1" applyBorder="1" applyAlignment="1">
      <alignment horizontal="center"/>
    </xf>
    <xf numFmtId="0" fontId="11" fillId="9" borderId="55" xfId="0" applyFont="1" applyFill="1" applyBorder="1" applyAlignment="1">
      <alignment horizontal="center"/>
    </xf>
    <xf numFmtId="0" fontId="0" fillId="19" borderId="46" xfId="0" applyFill="1" applyBorder="1"/>
    <xf numFmtId="0" fontId="7" fillId="19" borderId="46" xfId="1" applyFont="1" applyFill="1" applyBorder="1"/>
    <xf numFmtId="0" fontId="9" fillId="0" borderId="46" xfId="3" applyFont="1" applyBorder="1" applyAlignment="1">
      <alignment horizontal="center"/>
    </xf>
    <xf numFmtId="0" fontId="10" fillId="9" borderId="46" xfId="3" applyFont="1" applyFill="1" applyBorder="1"/>
    <xf numFmtId="0" fontId="8" fillId="8" borderId="46" xfId="3" applyFont="1" applyFill="1" applyBorder="1"/>
    <xf numFmtId="0" fontId="10" fillId="9" borderId="46" xfId="3" applyFont="1" applyFill="1" applyBorder="1" applyAlignment="1">
      <alignment horizontal="center"/>
    </xf>
    <xf numFmtId="2" fontId="9" fillId="9" borderId="46" xfId="3" applyNumberFormat="1" applyFont="1" applyFill="1" applyBorder="1"/>
    <xf numFmtId="2" fontId="19" fillId="9" borderId="46" xfId="3" applyNumberFormat="1" applyFont="1" applyFill="1" applyBorder="1"/>
    <xf numFmtId="0" fontId="11" fillId="8" borderId="46" xfId="0" applyFont="1" applyFill="1" applyBorder="1" applyAlignment="1">
      <alignment horizontal="center"/>
    </xf>
    <xf numFmtId="0" fontId="0" fillId="8" borderId="46" xfId="0" applyFill="1" applyBorder="1"/>
    <xf numFmtId="0" fontId="11" fillId="18" borderId="0" xfId="0" applyFont="1" applyFill="1"/>
    <xf numFmtId="0" fontId="0" fillId="9" borderId="0" xfId="0" applyFill="1" applyAlignment="1">
      <alignment horizontal="center"/>
    </xf>
    <xf numFmtId="0" fontId="1" fillId="0" borderId="0" xfId="5" applyFont="1"/>
    <xf numFmtId="0" fontId="0" fillId="4" borderId="66" xfId="0" applyFill="1" applyBorder="1"/>
    <xf numFmtId="0" fontId="0" fillId="4" borderId="0" xfId="0" applyFill="1"/>
    <xf numFmtId="0" fontId="0" fillId="0" borderId="0" xfId="0" applyAlignment="1">
      <alignment wrapText="1"/>
    </xf>
    <xf numFmtId="0" fontId="27" fillId="0" borderId="0" xfId="1" applyFont="1"/>
    <xf numFmtId="0" fontId="27" fillId="0" borderId="0" xfId="1" applyFont="1" applyProtection="1">
      <protection locked="0"/>
    </xf>
    <xf numFmtId="168" fontId="9" fillId="2" borderId="67" xfId="1" applyNumberFormat="1" applyFont="1" applyFill="1" applyBorder="1" applyAlignment="1" applyProtection="1">
      <alignment horizontal="center" vertical="center"/>
      <protection locked="0"/>
    </xf>
    <xf numFmtId="0" fontId="9" fillId="3" borderId="67" xfId="1" applyFont="1" applyFill="1" applyBorder="1" applyAlignment="1">
      <alignment horizontal="center" vertical="center"/>
    </xf>
    <xf numFmtId="0" fontId="7" fillId="3" borderId="67" xfId="1" applyFont="1" applyFill="1" applyBorder="1"/>
    <xf numFmtId="164" fontId="9" fillId="2" borderId="67" xfId="1" applyNumberFormat="1" applyFont="1" applyFill="1" applyBorder="1" applyAlignment="1" applyProtection="1">
      <alignment horizontal="center" vertical="center"/>
      <protection locked="0"/>
    </xf>
    <xf numFmtId="0" fontId="7" fillId="3" borderId="67" xfId="1" applyFont="1" applyFill="1" applyBorder="1" applyAlignment="1">
      <alignment horizontal="center" vertical="center"/>
    </xf>
    <xf numFmtId="0" fontId="10" fillId="3" borderId="67" xfId="1" applyFont="1" applyFill="1" applyBorder="1"/>
    <xf numFmtId="0" fontId="10" fillId="3" borderId="67" xfId="1" applyFont="1" applyFill="1" applyBorder="1" applyAlignment="1">
      <alignment horizontal="center" vertical="center"/>
    </xf>
    <xf numFmtId="170" fontId="9" fillId="3" borderId="67" xfId="1" applyNumberFormat="1" applyFont="1" applyFill="1" applyBorder="1" applyAlignment="1">
      <alignment horizontal="center" vertical="center"/>
    </xf>
    <xf numFmtId="2" fontId="9" fillId="3" borderId="67" xfId="1" applyNumberFormat="1" applyFont="1" applyFill="1" applyBorder="1" applyAlignment="1">
      <alignment horizontal="center" vertical="center"/>
    </xf>
    <xf numFmtId="0" fontId="0" fillId="2" borderId="0" xfId="0" applyFill="1"/>
    <xf numFmtId="0" fontId="27" fillId="20" borderId="0" xfId="1" applyFont="1" applyFill="1" applyProtection="1">
      <protection locked="0"/>
    </xf>
    <xf numFmtId="0" fontId="7" fillId="3" borderId="0" xfId="1" applyFont="1" applyFill="1"/>
    <xf numFmtId="0" fontId="9" fillId="2" borderId="70" xfId="1" applyFont="1" applyFill="1" applyBorder="1" applyProtection="1">
      <protection locked="0"/>
    </xf>
    <xf numFmtId="0" fontId="22" fillId="3" borderId="67" xfId="1" applyFont="1" applyFill="1" applyBorder="1" applyAlignment="1">
      <alignment horizontal="center" vertical="center"/>
    </xf>
    <xf numFmtId="0" fontId="0" fillId="3" borderId="0" xfId="0" applyFill="1"/>
    <xf numFmtId="1" fontId="0" fillId="0" borderId="0" xfId="0" applyNumberFormat="1"/>
    <xf numFmtId="3" fontId="0" fillId="0" borderId="0" xfId="0" applyNumberFormat="1"/>
    <xf numFmtId="167" fontId="0" fillId="0" borderId="0" xfId="0" applyNumberFormat="1"/>
    <xf numFmtId="0" fontId="0" fillId="3" borderId="0" xfId="0" applyFill="1" applyAlignment="1">
      <alignment horizontal="center" vertical="center"/>
    </xf>
    <xf numFmtId="0" fontId="0" fillId="0" borderId="0" xfId="0" applyAlignment="1">
      <alignment horizontal="center" vertical="center"/>
    </xf>
    <xf numFmtId="3" fontId="0" fillId="3" borderId="0" xfId="0" applyNumberFormat="1" applyFill="1" applyAlignment="1">
      <alignment horizontal="center"/>
    </xf>
    <xf numFmtId="167" fontId="0" fillId="3" borderId="0" xfId="0" applyNumberFormat="1" applyFill="1" applyAlignment="1">
      <alignment horizontal="center"/>
    </xf>
    <xf numFmtId="1" fontId="0" fillId="12" borderId="0" xfId="0" applyNumberFormat="1" applyFill="1" applyAlignment="1">
      <alignment horizontal="center" vertical="center"/>
    </xf>
    <xf numFmtId="3" fontId="0" fillId="12" borderId="0" xfId="0" applyNumberFormat="1" applyFill="1" applyAlignment="1">
      <alignment horizontal="center" vertical="center"/>
    </xf>
    <xf numFmtId="167" fontId="0" fillId="12" borderId="0" xfId="0" applyNumberFormat="1" applyFill="1" applyAlignment="1">
      <alignment horizontal="center" vertical="center"/>
    </xf>
    <xf numFmtId="1" fontId="0" fillId="13" borderId="0" xfId="0" applyNumberFormat="1" applyFill="1" applyAlignment="1">
      <alignment horizontal="center" vertical="center"/>
    </xf>
    <xf numFmtId="3" fontId="0" fillId="13" borderId="0" xfId="0" applyNumberFormat="1" applyFill="1" applyAlignment="1">
      <alignment horizontal="center" vertical="center"/>
    </xf>
    <xf numFmtId="167" fontId="0" fillId="13" borderId="0" xfId="0" applyNumberFormat="1" applyFill="1" applyAlignment="1">
      <alignment horizontal="center" vertical="center"/>
    </xf>
    <xf numFmtId="1" fontId="0" fillId="14" borderId="0" xfId="0" applyNumberFormat="1" applyFill="1" applyAlignment="1">
      <alignment horizontal="center" vertical="center"/>
    </xf>
    <xf numFmtId="3" fontId="0" fillId="14" borderId="0" xfId="0" applyNumberFormat="1" applyFill="1" applyAlignment="1">
      <alignment horizontal="center" vertical="center"/>
    </xf>
    <xf numFmtId="167" fontId="0" fillId="14" borderId="0" xfId="0" applyNumberFormat="1" applyFill="1" applyAlignment="1">
      <alignment horizontal="center" vertical="center"/>
    </xf>
    <xf numFmtId="1" fontId="0" fillId="15" borderId="0" xfId="0" applyNumberFormat="1" applyFill="1" applyAlignment="1">
      <alignment horizontal="center" vertical="center"/>
    </xf>
    <xf numFmtId="3" fontId="0" fillId="15" borderId="0" xfId="0" applyNumberFormat="1" applyFill="1" applyAlignment="1">
      <alignment horizontal="center" vertical="center"/>
    </xf>
    <xf numFmtId="167" fontId="0" fillId="15" borderId="0" xfId="0" applyNumberFormat="1" applyFill="1" applyAlignment="1">
      <alignment horizontal="center" vertical="center"/>
    </xf>
    <xf numFmtId="1" fontId="0" fillId="16" borderId="0" xfId="0" applyNumberFormat="1" applyFill="1" applyAlignment="1">
      <alignment horizontal="center" vertical="center"/>
    </xf>
    <xf numFmtId="3" fontId="0" fillId="16" borderId="0" xfId="0" applyNumberFormat="1" applyFill="1" applyAlignment="1">
      <alignment horizontal="center" vertical="center"/>
    </xf>
    <xf numFmtId="167" fontId="0" fillId="16" borderId="0" xfId="0" applyNumberFormat="1" applyFill="1" applyAlignment="1">
      <alignment horizontal="center" vertical="center"/>
    </xf>
    <xf numFmtId="1" fontId="0" fillId="17" borderId="0" xfId="0" applyNumberFormat="1" applyFill="1" applyAlignment="1">
      <alignment horizontal="center" vertical="center"/>
    </xf>
    <xf numFmtId="3" fontId="0" fillId="17" borderId="0" xfId="0" applyNumberFormat="1" applyFill="1" applyAlignment="1">
      <alignment horizontal="center" vertical="center"/>
    </xf>
    <xf numFmtId="167" fontId="0" fillId="17" borderId="0" xfId="0" applyNumberFormat="1" applyFill="1" applyAlignment="1">
      <alignment horizontal="center" vertical="center"/>
    </xf>
    <xf numFmtId="167" fontId="0" fillId="3" borderId="0" xfId="0" applyNumberFormat="1" applyFill="1" applyAlignment="1">
      <alignment horizontal="center" vertical="center"/>
    </xf>
    <xf numFmtId="3" fontId="0" fillId="3" borderId="0" xfId="0" applyNumberFormat="1" applyFill="1" applyAlignment="1">
      <alignment horizontal="center" vertical="center"/>
    </xf>
    <xf numFmtId="167" fontId="11" fillId="3" borderId="0" xfId="0" applyNumberFormat="1" applyFont="1" applyFill="1" applyAlignment="1">
      <alignment horizontal="center" vertical="center"/>
    </xf>
    <xf numFmtId="3" fontId="11" fillId="3" borderId="0" xfId="0" applyNumberFormat="1" applyFont="1" applyFill="1" applyAlignment="1">
      <alignment horizontal="center" vertical="center"/>
    </xf>
    <xf numFmtId="171" fontId="0" fillId="3" borderId="0" xfId="0" applyNumberFormat="1" applyFill="1" applyAlignment="1">
      <alignment horizontal="center" vertical="center"/>
    </xf>
    <xf numFmtId="0" fontId="11" fillId="3" borderId="0" xfId="0" applyFont="1" applyFill="1" applyAlignment="1">
      <alignment horizontal="center" vertical="center"/>
    </xf>
    <xf numFmtId="170" fontId="0" fillId="3" borderId="0" xfId="0" applyNumberFormat="1" applyFill="1" applyAlignment="1">
      <alignment horizontal="center" vertical="center"/>
    </xf>
    <xf numFmtId="2" fontId="0" fillId="3" borderId="0" xfId="0" applyNumberFormat="1" applyFill="1" applyAlignment="1">
      <alignment horizontal="center" vertical="center"/>
    </xf>
    <xf numFmtId="3" fontId="28" fillId="12" borderId="0" xfId="0" applyNumberFormat="1" applyFont="1" applyFill="1" applyAlignment="1">
      <alignment horizontal="center" vertical="center"/>
    </xf>
    <xf numFmtId="3" fontId="28" fillId="13" borderId="0" xfId="0" applyNumberFormat="1" applyFont="1" applyFill="1" applyAlignment="1">
      <alignment horizontal="center" vertical="center"/>
    </xf>
    <xf numFmtId="3" fontId="28" fillId="14" borderId="0" xfId="0" applyNumberFormat="1" applyFont="1" applyFill="1" applyAlignment="1">
      <alignment horizontal="center" vertical="center"/>
    </xf>
    <xf numFmtId="3" fontId="28" fillId="15" borderId="0" xfId="0" applyNumberFormat="1" applyFont="1" applyFill="1" applyAlignment="1">
      <alignment horizontal="center" vertical="center"/>
    </xf>
    <xf numFmtId="3" fontId="28" fillId="16" borderId="0" xfId="0" applyNumberFormat="1" applyFont="1" applyFill="1" applyAlignment="1">
      <alignment horizontal="center" vertical="center"/>
    </xf>
    <xf numFmtId="3" fontId="28" fillId="17" borderId="0" xfId="0" applyNumberFormat="1" applyFont="1" applyFill="1" applyAlignment="1">
      <alignment horizontal="center" vertical="center"/>
    </xf>
    <xf numFmtId="0" fontId="0" fillId="0" borderId="0" xfId="0" applyAlignment="1">
      <alignment vertical="top" wrapText="1"/>
    </xf>
    <xf numFmtId="0" fontId="28" fillId="3" borderId="67" xfId="1" applyFont="1" applyFill="1" applyBorder="1"/>
    <xf numFmtId="1" fontId="28" fillId="2" borderId="67" xfId="1" applyNumberFormat="1" applyFont="1" applyFill="1" applyBorder="1" applyAlignment="1" applyProtection="1">
      <alignment horizontal="center" vertical="center"/>
      <protection locked="0"/>
    </xf>
    <xf numFmtId="0" fontId="29" fillId="3" borderId="67" xfId="1" applyFont="1" applyFill="1" applyBorder="1" applyAlignment="1">
      <alignment horizontal="center" vertical="center"/>
    </xf>
    <xf numFmtId="0" fontId="0" fillId="3" borderId="0" xfId="0" applyFill="1" applyAlignment="1">
      <alignment vertical="top" wrapText="1"/>
    </xf>
    <xf numFmtId="0" fontId="30" fillId="3" borderId="0" xfId="0" applyFont="1" applyFill="1" applyAlignment="1">
      <alignment horizontal="left" vertical="center" wrapText="1"/>
    </xf>
    <xf numFmtId="0" fontId="0" fillId="3" borderId="0" xfId="0" applyFill="1" applyAlignment="1">
      <alignment horizontal="left" vertical="center" wrapText="1"/>
    </xf>
    <xf numFmtId="166" fontId="0" fillId="3" borderId="0" xfId="0" applyNumberFormat="1" applyFill="1" applyAlignment="1">
      <alignment horizontal="center" vertical="center" wrapText="1"/>
    </xf>
    <xf numFmtId="1" fontId="0" fillId="3" borderId="0" xfId="0" applyNumberFormat="1" applyFill="1" applyAlignment="1">
      <alignment horizontal="center" vertical="center" wrapText="1"/>
    </xf>
    <xf numFmtId="0" fontId="0" fillId="3" borderId="0" xfId="0" applyFill="1" applyAlignment="1">
      <alignment horizontal="left" vertical="center"/>
    </xf>
    <xf numFmtId="0" fontId="30" fillId="3" borderId="0" xfId="0" applyFont="1" applyFill="1" applyAlignment="1">
      <alignment horizontal="left" vertical="center"/>
    </xf>
    <xf numFmtId="169" fontId="0" fillId="3" borderId="0" xfId="0" applyNumberFormat="1" applyFill="1" applyAlignment="1">
      <alignment horizontal="center" vertical="center"/>
    </xf>
    <xf numFmtId="164" fontId="0" fillId="3" borderId="0" xfId="0" applyNumberFormat="1" applyFill="1" applyAlignment="1">
      <alignment horizontal="center" vertical="center"/>
    </xf>
    <xf numFmtId="1" fontId="0" fillId="3" borderId="0" xfId="0" applyNumberFormat="1" applyFill="1" applyAlignment="1">
      <alignment horizontal="center" vertical="center"/>
    </xf>
    <xf numFmtId="0" fontId="10" fillId="20" borderId="0" xfId="1" applyFont="1" applyFill="1" applyAlignment="1">
      <alignment horizontal="center" vertical="center" wrapText="1"/>
    </xf>
    <xf numFmtId="0" fontId="23" fillId="20" borderId="0" xfId="1" applyFont="1" applyFill="1" applyAlignment="1">
      <alignment horizontal="center" vertical="center" wrapText="1"/>
    </xf>
    <xf numFmtId="0" fontId="10" fillId="20" borderId="0" xfId="1" applyFont="1" applyFill="1" applyAlignment="1">
      <alignment horizontal="center"/>
    </xf>
    <xf numFmtId="3" fontId="10" fillId="20" borderId="0" xfId="1" applyNumberFormat="1" applyFont="1" applyFill="1" applyAlignment="1">
      <alignment horizontal="center"/>
    </xf>
    <xf numFmtId="167" fontId="10" fillId="20" borderId="0" xfId="1" applyNumberFormat="1" applyFont="1" applyFill="1" applyAlignment="1">
      <alignment horizontal="center"/>
    </xf>
    <xf numFmtId="1" fontId="10" fillId="20" borderId="0" xfId="1" applyNumberFormat="1" applyFont="1" applyFill="1" applyAlignment="1">
      <alignment horizontal="center"/>
    </xf>
    <xf numFmtId="0" fontId="10" fillId="0" borderId="0" xfId="0" applyFont="1" applyAlignment="1">
      <alignment vertical="center" wrapText="1"/>
    </xf>
    <xf numFmtId="0" fontId="9" fillId="20" borderId="0" xfId="1" applyFont="1" applyFill="1"/>
    <xf numFmtId="168" fontId="10" fillId="20" borderId="0" xfId="1" applyNumberFormat="1" applyFont="1" applyFill="1" applyAlignment="1">
      <alignment horizontal="center"/>
    </xf>
    <xf numFmtId="3" fontId="22" fillId="20" borderId="0" xfId="1" applyNumberFormat="1" applyFont="1" applyFill="1" applyAlignment="1">
      <alignment horizontal="center"/>
    </xf>
    <xf numFmtId="0" fontId="10" fillId="20" borderId="0" xfId="1" applyFont="1" applyFill="1" applyAlignment="1">
      <alignment horizontal="center" vertical="center"/>
    </xf>
    <xf numFmtId="0" fontId="10" fillId="20" borderId="0" xfId="1" applyFont="1" applyFill="1" applyAlignment="1" applyProtection="1">
      <alignment horizontal="center" vertical="center"/>
      <protection locked="0"/>
    </xf>
    <xf numFmtId="0" fontId="9" fillId="0" borderId="0" xfId="0" applyFont="1" applyAlignment="1">
      <alignment horizontal="left" vertical="center" wrapText="1" indent="1"/>
    </xf>
    <xf numFmtId="0" fontId="9" fillId="20" borderId="0" xfId="0" applyFont="1" applyFill="1"/>
    <xf numFmtId="0" fontId="9" fillId="3" borderId="0" xfId="0" applyFont="1" applyFill="1"/>
    <xf numFmtId="3" fontId="9" fillId="20" borderId="0" xfId="0" applyNumberFormat="1" applyFont="1" applyFill="1" applyAlignment="1">
      <alignment horizontal="center" vertical="center"/>
    </xf>
    <xf numFmtId="0" fontId="9" fillId="20" borderId="0" xfId="0" applyFont="1" applyFill="1" applyAlignment="1">
      <alignment horizontal="center"/>
    </xf>
    <xf numFmtId="0" fontId="9" fillId="4" borderId="0" xfId="0" applyFont="1" applyFill="1"/>
    <xf numFmtId="0" fontId="9" fillId="4" borderId="0" xfId="0" applyFont="1" applyFill="1" applyAlignment="1">
      <alignment horizontal="left"/>
    </xf>
    <xf numFmtId="37" fontId="9" fillId="4" borderId="0" xfId="0" applyNumberFormat="1" applyFont="1" applyFill="1" applyAlignment="1">
      <alignment horizontal="center"/>
    </xf>
    <xf numFmtId="1" fontId="9" fillId="20" borderId="0" xfId="4" applyNumberFormat="1" applyFont="1" applyFill="1" applyBorder="1" applyAlignment="1" applyProtection="1">
      <alignment horizontal="center" vertical="center"/>
    </xf>
    <xf numFmtId="1" fontId="9" fillId="4" borderId="0" xfId="4" applyNumberFormat="1" applyFont="1" applyFill="1" applyBorder="1" applyAlignment="1" applyProtection="1">
      <alignment horizontal="center"/>
    </xf>
    <xf numFmtId="0" fontId="11" fillId="3" borderId="0" xfId="0" applyFont="1" applyFill="1" applyAlignment="1">
      <alignment horizontal="center" vertical="center" wrapText="1"/>
    </xf>
    <xf numFmtId="0" fontId="9" fillId="3" borderId="68" xfId="1" applyFont="1" applyFill="1" applyBorder="1"/>
    <xf numFmtId="0" fontId="9" fillId="3" borderId="69" xfId="1" applyFont="1" applyFill="1" applyBorder="1"/>
    <xf numFmtId="0" fontId="9" fillId="3" borderId="67" xfId="1" applyFont="1" applyFill="1" applyBorder="1"/>
    <xf numFmtId="1" fontId="10" fillId="2" borderId="0" xfId="1" applyNumberFormat="1" applyFont="1" applyFill="1" applyAlignment="1">
      <alignment horizontal="center"/>
    </xf>
    <xf numFmtId="1" fontId="9" fillId="3" borderId="26" xfId="1" applyNumberFormat="1" applyFont="1" applyFill="1" applyBorder="1" applyAlignment="1">
      <alignment horizontal="left"/>
    </xf>
    <xf numFmtId="1" fontId="9" fillId="3" borderId="27" xfId="1" applyNumberFormat="1" applyFont="1" applyFill="1" applyBorder="1" applyAlignment="1">
      <alignment horizontal="left"/>
    </xf>
    <xf numFmtId="1" fontId="9" fillId="3" borderId="28" xfId="1" applyNumberFormat="1" applyFont="1" applyFill="1" applyBorder="1" applyAlignment="1">
      <alignment horizontal="left"/>
    </xf>
    <xf numFmtId="1" fontId="9" fillId="3" borderId="35" xfId="1" applyNumberFormat="1" applyFont="1" applyFill="1" applyBorder="1" applyAlignment="1">
      <alignment horizontal="left"/>
    </xf>
    <xf numFmtId="1" fontId="9" fillId="3" borderId="36" xfId="1" applyNumberFormat="1" applyFont="1" applyFill="1" applyBorder="1" applyAlignment="1">
      <alignment horizontal="left"/>
    </xf>
    <xf numFmtId="1" fontId="9" fillId="3" borderId="37" xfId="1" applyNumberFormat="1" applyFont="1" applyFill="1" applyBorder="1" applyAlignment="1">
      <alignment horizontal="left"/>
    </xf>
    <xf numFmtId="0" fontId="10" fillId="2" borderId="0" xfId="1" applyFont="1" applyFill="1" applyAlignment="1">
      <alignment horizontal="center"/>
    </xf>
    <xf numFmtId="0" fontId="10" fillId="2" borderId="25" xfId="1" applyFont="1" applyFill="1" applyBorder="1" applyAlignment="1">
      <alignment horizontal="left"/>
    </xf>
    <xf numFmtId="0" fontId="8" fillId="3" borderId="2" xfId="0" applyFont="1" applyFill="1" applyBorder="1" applyAlignment="1">
      <alignment horizontal="left"/>
    </xf>
    <xf numFmtId="0" fontId="8" fillId="3" borderId="3" xfId="0" applyFont="1" applyFill="1" applyBorder="1" applyAlignment="1">
      <alignment horizontal="left"/>
    </xf>
    <xf numFmtId="0" fontId="8" fillId="3" borderId="4" xfId="0" applyFont="1" applyFill="1" applyBorder="1" applyAlignment="1">
      <alignment horizontal="left"/>
    </xf>
    <xf numFmtId="1" fontId="10" fillId="3" borderId="23" xfId="1" applyNumberFormat="1" applyFont="1" applyFill="1" applyBorder="1" applyAlignment="1">
      <alignment horizontal="left"/>
    </xf>
    <xf numFmtId="0" fontId="7" fillId="2" borderId="0" xfId="1" applyFont="1" applyFill="1" applyAlignment="1">
      <alignment horizontal="right"/>
    </xf>
    <xf numFmtId="0" fontId="10" fillId="2" borderId="0" xfId="1" applyFont="1" applyFill="1" applyAlignment="1">
      <alignment horizontal="left" wrapText="1"/>
    </xf>
    <xf numFmtId="0" fontId="10" fillId="2" borderId="25" xfId="1" applyFont="1" applyFill="1" applyBorder="1" applyAlignment="1">
      <alignment horizontal="left" wrapText="1"/>
    </xf>
    <xf numFmtId="0" fontId="10" fillId="20" borderId="0" xfId="1" applyFont="1" applyFill="1" applyAlignment="1">
      <alignment horizontal="center" vertical="center"/>
    </xf>
    <xf numFmtId="0" fontId="9" fillId="20" borderId="0" xfId="1" applyFont="1" applyFill="1" applyAlignment="1">
      <alignment horizontal="center" vertical="center"/>
    </xf>
    <xf numFmtId="0" fontId="14" fillId="5" borderId="50" xfId="1" applyFont="1" applyFill="1" applyBorder="1" applyAlignment="1">
      <alignment horizontal="center"/>
    </xf>
    <xf numFmtId="0" fontId="14" fillId="5" borderId="0" xfId="1" applyFont="1" applyFill="1" applyAlignment="1">
      <alignment horizontal="center"/>
    </xf>
    <xf numFmtId="0" fontId="9" fillId="4" borderId="0" xfId="1" applyFont="1" applyFill="1" applyAlignment="1">
      <alignment horizontal="center"/>
    </xf>
    <xf numFmtId="0" fontId="10" fillId="20" borderId="0" xfId="0" applyFont="1" applyFill="1" applyAlignment="1">
      <alignment horizontal="left" vertical="center" wrapText="1"/>
    </xf>
    <xf numFmtId="0" fontId="14" fillId="5" borderId="50" xfId="1" applyFont="1" applyFill="1" applyBorder="1" applyAlignment="1">
      <alignment horizontal="center" vertical="center"/>
    </xf>
    <xf numFmtId="0" fontId="14" fillId="5" borderId="0" xfId="1" applyFont="1" applyFill="1" applyAlignment="1">
      <alignment horizontal="center" vertical="center"/>
    </xf>
    <xf numFmtId="0" fontId="10" fillId="0" borderId="0" xfId="0" applyFont="1" applyAlignment="1">
      <alignment horizontal="center" vertical="center" wrapText="1"/>
    </xf>
    <xf numFmtId="0" fontId="14" fillId="5" borderId="57" xfId="1" applyFont="1" applyFill="1" applyBorder="1" applyAlignment="1">
      <alignment horizontal="left"/>
    </xf>
    <xf numFmtId="0" fontId="14" fillId="5" borderId="0" xfId="1" applyFont="1" applyFill="1" applyAlignment="1">
      <alignment horizontal="left"/>
    </xf>
    <xf numFmtId="0" fontId="9" fillId="3" borderId="0" xfId="1" applyFont="1" applyFill="1" applyAlignment="1">
      <alignment horizontal="center"/>
    </xf>
    <xf numFmtId="0" fontId="9" fillId="3" borderId="0" xfId="1" applyFont="1" applyFill="1" applyAlignment="1">
      <alignment horizontal="left"/>
    </xf>
    <xf numFmtId="0" fontId="16" fillId="6" borderId="43" xfId="0" applyFont="1" applyFill="1" applyBorder="1" applyAlignment="1">
      <alignment horizontal="center"/>
    </xf>
    <xf numFmtId="0" fontId="16" fillId="6" borderId="44" xfId="0" applyFont="1" applyFill="1" applyBorder="1" applyAlignment="1">
      <alignment horizontal="center"/>
    </xf>
    <xf numFmtId="0" fontId="16" fillId="6" borderId="45" xfId="0" applyFont="1" applyFill="1" applyBorder="1" applyAlignment="1">
      <alignment horizontal="center"/>
    </xf>
    <xf numFmtId="0" fontId="26" fillId="18" borderId="0" xfId="0" applyFont="1" applyFill="1" applyAlignment="1">
      <alignment horizontal="center"/>
    </xf>
    <xf numFmtId="0" fontId="25" fillId="18" borderId="0" xfId="0" applyFont="1" applyFill="1" applyAlignment="1">
      <alignment horizontal="center"/>
    </xf>
    <xf numFmtId="0" fontId="11" fillId="14" borderId="43" xfId="3" applyFont="1" applyFill="1" applyBorder="1" applyAlignment="1">
      <alignment horizontal="center"/>
    </xf>
    <xf numFmtId="0" fontId="11" fillId="14" borderId="44" xfId="3" applyFont="1" applyFill="1" applyBorder="1" applyAlignment="1">
      <alignment horizontal="center"/>
    </xf>
    <xf numFmtId="0" fontId="11" fillId="14" borderId="45" xfId="3" applyFont="1" applyFill="1" applyBorder="1" applyAlignment="1">
      <alignment horizontal="center"/>
    </xf>
    <xf numFmtId="0" fontId="10" fillId="3" borderId="47" xfId="0" applyFont="1" applyFill="1" applyBorder="1" applyAlignment="1">
      <alignment horizontal="left" vertical="center" wrapText="1"/>
    </xf>
    <xf numFmtId="0" fontId="10" fillId="3" borderId="23" xfId="0" applyFont="1" applyFill="1" applyBorder="1" applyAlignment="1">
      <alignment horizontal="left" vertical="center" wrapText="1"/>
    </xf>
    <xf numFmtId="0" fontId="10" fillId="3" borderId="48" xfId="0" applyFont="1" applyFill="1" applyBorder="1" applyAlignment="1">
      <alignment horizontal="left" vertical="center" wrapText="1"/>
    </xf>
    <xf numFmtId="0" fontId="10" fillId="3" borderId="0" xfId="0" applyFont="1" applyFill="1" applyAlignment="1">
      <alignment horizontal="left" vertical="center" wrapText="1"/>
    </xf>
    <xf numFmtId="0" fontId="0" fillId="3" borderId="0" xfId="0" applyFill="1" applyAlignment="1">
      <alignment horizontal="center" vertical="center"/>
    </xf>
    <xf numFmtId="0" fontId="31" fillId="20" borderId="0" xfId="0" applyFont="1" applyFill="1" applyAlignment="1">
      <alignment horizontal="left" vertical="top" wrapText="1"/>
    </xf>
    <xf numFmtId="0" fontId="0" fillId="0" borderId="0" xfId="0" applyAlignment="1">
      <alignment horizontal="left" vertical="top" wrapText="1"/>
    </xf>
    <xf numFmtId="0" fontId="11" fillId="0" borderId="0" xfId="0" applyFont="1" applyAlignment="1">
      <alignment vertical="center" wrapText="1"/>
    </xf>
    <xf numFmtId="0" fontId="10" fillId="2" borderId="0" xfId="1" applyFont="1" applyFill="1" applyAlignment="1">
      <alignment horizontal="center" vertical="center" wrapText="1"/>
    </xf>
    <xf numFmtId="0" fontId="7" fillId="2" borderId="0" xfId="1" applyFont="1" applyFill="1" applyAlignment="1">
      <alignment horizontal="center" vertical="center" wrapText="1"/>
    </xf>
    <xf numFmtId="0" fontId="20" fillId="2" borderId="9" xfId="0" applyNumberFormat="1" applyFont="1" applyFill="1" applyBorder="1" applyAlignment="1" applyProtection="1">
      <alignment horizontal="center"/>
      <protection locked="0"/>
    </xf>
    <xf numFmtId="0" fontId="9" fillId="2" borderId="9" xfId="0" applyNumberFormat="1" applyFont="1" applyFill="1" applyBorder="1" applyAlignment="1" applyProtection="1">
      <alignment horizontal="center"/>
      <protection locked="0"/>
    </xf>
    <xf numFmtId="0" fontId="9" fillId="2" borderId="19" xfId="0" applyNumberFormat="1" applyFont="1" applyFill="1" applyBorder="1" applyAlignment="1" applyProtection="1">
      <alignment horizontal="center"/>
      <protection locked="0"/>
    </xf>
    <xf numFmtId="0" fontId="9" fillId="3" borderId="52" xfId="1" applyNumberFormat="1" applyFont="1" applyFill="1" applyBorder="1" applyAlignment="1">
      <alignment horizontal="center"/>
    </xf>
    <xf numFmtId="0" fontId="9" fillId="3" borderId="49" xfId="1" applyNumberFormat="1" applyFont="1" applyFill="1" applyBorder="1" applyAlignment="1">
      <alignment horizontal="center"/>
    </xf>
    <xf numFmtId="0" fontId="9" fillId="3" borderId="29" xfId="1" applyNumberFormat="1" applyFont="1" applyFill="1" applyBorder="1" applyAlignment="1">
      <alignment horizontal="center"/>
    </xf>
    <xf numFmtId="0" fontId="0" fillId="3" borderId="0" xfId="0" applyNumberFormat="1" applyFill="1" applyAlignment="1">
      <alignment horizontal="center"/>
    </xf>
    <xf numFmtId="0" fontId="0" fillId="3" borderId="0" xfId="0" applyNumberFormat="1" applyFill="1" applyAlignment="1">
      <alignment horizontal="center" vertical="center"/>
    </xf>
  </cellXfs>
  <cellStyles count="7">
    <cellStyle name="Normal" xfId="0" builtinId="0"/>
    <cellStyle name="Normal 2" xfId="3" xr:uid="{BB110051-B756-4987-870E-9A8605F93B1B}"/>
    <cellStyle name="Normal 3" xfId="5" xr:uid="{DB6B70C8-4E70-4D9F-80AF-1E238C551FB2}"/>
    <cellStyle name="Normal 4" xfId="1" xr:uid="{8FC21825-7921-4797-90B7-12272B296A3B}"/>
    <cellStyle name="Normal 4 2" xfId="6" xr:uid="{312A3B13-647E-4EA6-A0C3-D01A1F658EE1}"/>
    <cellStyle name="Percent" xfId="4" builtinId="5"/>
    <cellStyle name="Percent 2" xfId="2" xr:uid="{554D25AA-6124-471D-9F54-AA6EA475FF35}"/>
  </cellStyles>
  <dxfs count="0"/>
  <tableStyles count="0" defaultTableStyle="TableStyleMedium2" defaultPivotStyle="PivotStyleLight16"/>
  <colors>
    <mruColors>
      <color rgb="FFC3C8CE"/>
      <color rgb="FFEEF0F2"/>
      <color rgb="FFB6B6B6"/>
      <color rgb="FF000080"/>
      <color rgb="FFFF6600"/>
      <color rgb="FF99CCFF"/>
      <color rgb="FF808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DDC to GPM to BTU/h</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f>'Flow Curves'!$O$10:$O$110</c:f>
              <c:numCache>
                <c:formatCode>0.00</c:formatCode>
                <c:ptCount val="101"/>
                <c:pt idx="0">
                  <c:v>2</c:v>
                </c:pt>
                <c:pt idx="1">
                  <c:v>2.08</c:v>
                </c:pt>
                <c:pt idx="2">
                  <c:v>2.16</c:v>
                </c:pt>
                <c:pt idx="3">
                  <c:v>2.2400000000000002</c:v>
                </c:pt>
                <c:pt idx="4">
                  <c:v>2.3200000000000003</c:v>
                </c:pt>
                <c:pt idx="5">
                  <c:v>2.4000000000000004</c:v>
                </c:pt>
                <c:pt idx="6">
                  <c:v>2.4800000000000004</c:v>
                </c:pt>
                <c:pt idx="7">
                  <c:v>2.5600000000000005</c:v>
                </c:pt>
                <c:pt idx="8">
                  <c:v>2.6400000000000006</c:v>
                </c:pt>
                <c:pt idx="9">
                  <c:v>2.7200000000000006</c:v>
                </c:pt>
                <c:pt idx="10">
                  <c:v>2.8000000000000007</c:v>
                </c:pt>
                <c:pt idx="11">
                  <c:v>2.8800000000000008</c:v>
                </c:pt>
                <c:pt idx="12">
                  <c:v>2.9600000000000009</c:v>
                </c:pt>
                <c:pt idx="13">
                  <c:v>3.0400000000000009</c:v>
                </c:pt>
                <c:pt idx="14">
                  <c:v>3.120000000000001</c:v>
                </c:pt>
                <c:pt idx="15">
                  <c:v>3.2000000000000011</c:v>
                </c:pt>
                <c:pt idx="16">
                  <c:v>3.2800000000000011</c:v>
                </c:pt>
                <c:pt idx="17">
                  <c:v>3.3600000000000012</c:v>
                </c:pt>
                <c:pt idx="18">
                  <c:v>3.4400000000000013</c:v>
                </c:pt>
                <c:pt idx="19">
                  <c:v>3.5200000000000014</c:v>
                </c:pt>
                <c:pt idx="20">
                  <c:v>3.6000000000000014</c:v>
                </c:pt>
                <c:pt idx="21">
                  <c:v>3.6800000000000015</c:v>
                </c:pt>
                <c:pt idx="22">
                  <c:v>3.7600000000000016</c:v>
                </c:pt>
                <c:pt idx="23">
                  <c:v>3.8400000000000016</c:v>
                </c:pt>
                <c:pt idx="24">
                  <c:v>3.9200000000000017</c:v>
                </c:pt>
                <c:pt idx="25">
                  <c:v>4.0000000000000018</c:v>
                </c:pt>
                <c:pt idx="26">
                  <c:v>4.0800000000000018</c:v>
                </c:pt>
                <c:pt idx="27">
                  <c:v>4.1600000000000019</c:v>
                </c:pt>
                <c:pt idx="28">
                  <c:v>4.240000000000002</c:v>
                </c:pt>
                <c:pt idx="29">
                  <c:v>4.3200000000000021</c:v>
                </c:pt>
                <c:pt idx="30">
                  <c:v>4.4000000000000021</c:v>
                </c:pt>
                <c:pt idx="31">
                  <c:v>4.4800000000000022</c:v>
                </c:pt>
                <c:pt idx="32">
                  <c:v>4.5600000000000023</c:v>
                </c:pt>
                <c:pt idx="33">
                  <c:v>4.6400000000000023</c:v>
                </c:pt>
                <c:pt idx="34">
                  <c:v>4.7200000000000024</c:v>
                </c:pt>
                <c:pt idx="35">
                  <c:v>4.8000000000000025</c:v>
                </c:pt>
                <c:pt idx="36">
                  <c:v>4.8800000000000026</c:v>
                </c:pt>
                <c:pt idx="37">
                  <c:v>4.9600000000000026</c:v>
                </c:pt>
                <c:pt idx="38">
                  <c:v>5.0400000000000027</c:v>
                </c:pt>
                <c:pt idx="39">
                  <c:v>5.1200000000000028</c:v>
                </c:pt>
                <c:pt idx="40">
                  <c:v>5.2000000000000028</c:v>
                </c:pt>
                <c:pt idx="41">
                  <c:v>5.2800000000000029</c:v>
                </c:pt>
                <c:pt idx="42">
                  <c:v>5.360000000000003</c:v>
                </c:pt>
                <c:pt idx="43">
                  <c:v>5.4400000000000031</c:v>
                </c:pt>
                <c:pt idx="44">
                  <c:v>5.5200000000000031</c:v>
                </c:pt>
                <c:pt idx="45">
                  <c:v>5.6000000000000032</c:v>
                </c:pt>
                <c:pt idx="46">
                  <c:v>5.6800000000000033</c:v>
                </c:pt>
                <c:pt idx="47">
                  <c:v>5.7600000000000033</c:v>
                </c:pt>
                <c:pt idx="48">
                  <c:v>5.8400000000000034</c:v>
                </c:pt>
                <c:pt idx="49">
                  <c:v>5.9200000000000035</c:v>
                </c:pt>
                <c:pt idx="50">
                  <c:v>6.0000000000000036</c:v>
                </c:pt>
                <c:pt idx="51">
                  <c:v>6.0800000000000036</c:v>
                </c:pt>
                <c:pt idx="52">
                  <c:v>6.1600000000000037</c:v>
                </c:pt>
                <c:pt idx="53">
                  <c:v>6.2400000000000038</c:v>
                </c:pt>
                <c:pt idx="54">
                  <c:v>6.3200000000000038</c:v>
                </c:pt>
                <c:pt idx="55">
                  <c:v>6.4000000000000039</c:v>
                </c:pt>
                <c:pt idx="56">
                  <c:v>6.480000000000004</c:v>
                </c:pt>
                <c:pt idx="57">
                  <c:v>6.5600000000000041</c:v>
                </c:pt>
                <c:pt idx="58">
                  <c:v>6.6400000000000041</c:v>
                </c:pt>
                <c:pt idx="59">
                  <c:v>6.7200000000000042</c:v>
                </c:pt>
                <c:pt idx="60">
                  <c:v>6.8000000000000043</c:v>
                </c:pt>
                <c:pt idx="61">
                  <c:v>6.8800000000000043</c:v>
                </c:pt>
                <c:pt idx="62">
                  <c:v>6.9600000000000044</c:v>
                </c:pt>
                <c:pt idx="63">
                  <c:v>7.0400000000000045</c:v>
                </c:pt>
                <c:pt idx="64">
                  <c:v>7.1200000000000045</c:v>
                </c:pt>
                <c:pt idx="65">
                  <c:v>7.2000000000000046</c:v>
                </c:pt>
                <c:pt idx="66">
                  <c:v>7.2800000000000047</c:v>
                </c:pt>
                <c:pt idx="67">
                  <c:v>7.3600000000000048</c:v>
                </c:pt>
                <c:pt idx="68">
                  <c:v>7.4400000000000048</c:v>
                </c:pt>
                <c:pt idx="69">
                  <c:v>7.5200000000000049</c:v>
                </c:pt>
                <c:pt idx="70">
                  <c:v>7.600000000000005</c:v>
                </c:pt>
                <c:pt idx="71">
                  <c:v>7.680000000000005</c:v>
                </c:pt>
                <c:pt idx="72">
                  <c:v>7.7600000000000051</c:v>
                </c:pt>
                <c:pt idx="73">
                  <c:v>7.8400000000000052</c:v>
                </c:pt>
                <c:pt idx="74">
                  <c:v>7.9200000000000053</c:v>
                </c:pt>
                <c:pt idx="75">
                  <c:v>8.0000000000000053</c:v>
                </c:pt>
                <c:pt idx="76">
                  <c:v>8.0800000000000054</c:v>
                </c:pt>
                <c:pt idx="77">
                  <c:v>8.1600000000000055</c:v>
                </c:pt>
                <c:pt idx="78">
                  <c:v>8.2400000000000055</c:v>
                </c:pt>
                <c:pt idx="79">
                  <c:v>8.3200000000000056</c:v>
                </c:pt>
                <c:pt idx="80">
                  <c:v>8.4000000000000057</c:v>
                </c:pt>
                <c:pt idx="81">
                  <c:v>8.4800000000000058</c:v>
                </c:pt>
                <c:pt idx="82">
                  <c:v>8.5600000000000058</c:v>
                </c:pt>
                <c:pt idx="83">
                  <c:v>8.6400000000000059</c:v>
                </c:pt>
                <c:pt idx="84">
                  <c:v>8.720000000000006</c:v>
                </c:pt>
                <c:pt idx="85">
                  <c:v>8.800000000000006</c:v>
                </c:pt>
                <c:pt idx="86">
                  <c:v>8.8800000000000061</c:v>
                </c:pt>
                <c:pt idx="87">
                  <c:v>8.9600000000000062</c:v>
                </c:pt>
                <c:pt idx="88">
                  <c:v>9.0400000000000063</c:v>
                </c:pt>
                <c:pt idx="89">
                  <c:v>9.1200000000000063</c:v>
                </c:pt>
                <c:pt idx="90">
                  <c:v>9.2000000000000064</c:v>
                </c:pt>
                <c:pt idx="91">
                  <c:v>9.2800000000000065</c:v>
                </c:pt>
                <c:pt idx="92">
                  <c:v>9.3600000000000065</c:v>
                </c:pt>
                <c:pt idx="93">
                  <c:v>9.4400000000000066</c:v>
                </c:pt>
                <c:pt idx="94">
                  <c:v>9.5200000000000067</c:v>
                </c:pt>
                <c:pt idx="95">
                  <c:v>9.6000000000000068</c:v>
                </c:pt>
                <c:pt idx="96">
                  <c:v>9.6800000000000068</c:v>
                </c:pt>
                <c:pt idx="97">
                  <c:v>9.7600000000000069</c:v>
                </c:pt>
                <c:pt idx="98">
                  <c:v>9.840000000000007</c:v>
                </c:pt>
                <c:pt idx="99">
                  <c:v>9.920000000000007</c:v>
                </c:pt>
                <c:pt idx="100">
                  <c:v>10</c:v>
                </c:pt>
              </c:numCache>
            </c:numRef>
          </c:cat>
          <c:val>
            <c:numRef>
              <c:f>'Flow Curves'!$P$10:$P$110</c:f>
              <c:numCache>
                <c:formatCode>#,##0.00</c:formatCode>
                <c:ptCount val="101"/>
                <c:pt idx="0">
                  <c:v>0</c:v>
                </c:pt>
                <c:pt idx="1">
                  <c:v>0</c:v>
                </c:pt>
                <c:pt idx="2">
                  <c:v>0</c:v>
                </c:pt>
                <c:pt idx="3">
                  <c:v>0</c:v>
                </c:pt>
                <c:pt idx="4">
                  <c:v>0</c:v>
                </c:pt>
                <c:pt idx="5">
                  <c:v>0</c:v>
                </c:pt>
                <c:pt idx="6">
                  <c:v>0</c:v>
                </c:pt>
                <c:pt idx="7">
                  <c:v>15.535014443921224</c:v>
                </c:pt>
                <c:pt idx="8">
                  <c:v>16.043382714213084</c:v>
                </c:pt>
                <c:pt idx="9">
                  <c:v>16.568386842757473</c:v>
                </c:pt>
                <c:pt idx="10">
                  <c:v>17.110571221869858</c:v>
                </c:pt>
                <c:pt idx="11">
                  <c:v>17.67049805857593</c:v>
                </c:pt>
                <c:pt idx="12">
                  <c:v>18.248747957580644</c:v>
                </c:pt>
                <c:pt idx="13">
                  <c:v>18.845920523314422</c:v>
                </c:pt>
                <c:pt idx="14">
                  <c:v>19.462634981680726</c:v>
                </c:pt>
                <c:pt idx="15">
                  <c:v>20.099530822149724</c:v>
                </c:pt>
                <c:pt idx="16">
                  <c:v>20.757268460863845</c:v>
                </c:pt>
                <c:pt idx="17">
                  <c:v>21.436529925442827</c:v>
                </c:pt>
                <c:pt idx="18">
                  <c:v>22.138019562198306</c:v>
                </c:pt>
                <c:pt idx="19">
                  <c:v>22.862464766491385</c:v>
                </c:pt>
                <c:pt idx="20">
                  <c:v>23.610616736990401</c:v>
                </c:pt>
                <c:pt idx="21">
                  <c:v>24.383251254611007</c:v>
                </c:pt>
                <c:pt idx="22">
                  <c:v>25.181169486946427</c:v>
                </c:pt>
                <c:pt idx="23">
                  <c:v>26.005198819021796</c:v>
                </c:pt>
                <c:pt idx="24">
                  <c:v>26.856193711234177</c:v>
                </c:pt>
                <c:pt idx="25">
                  <c:v>27.735036585367837</c:v>
                </c:pt>
                <c:pt idx="26">
                  <c:v>28.642638739603527</c:v>
                </c:pt>
                <c:pt idx="27">
                  <c:v>29.579941293470483</c:v>
                </c:pt>
                <c:pt idx="28">
                  <c:v>30.547916163721155</c:v>
                </c:pt>
                <c:pt idx="29">
                  <c:v>31.547567072140406</c:v>
                </c:pt>
                <c:pt idx="30">
                  <c:v>32.579930586334406</c:v>
                </c:pt>
                <c:pt idx="31">
                  <c:v>33.646077194578162</c:v>
                </c:pt>
                <c:pt idx="32">
                  <c:v>34.747112415836519</c:v>
                </c:pt>
                <c:pt idx="33">
                  <c:v>35.884177946109546</c:v>
                </c:pt>
                <c:pt idx="34">
                  <c:v>37.058452842290791</c:v>
                </c:pt>
                <c:pt idx="35">
                  <c:v>38.271154744766335</c:v>
                </c:pt>
                <c:pt idx="36">
                  <c:v>39.523541140022161</c:v>
                </c:pt>
                <c:pt idx="37">
                  <c:v>40.816910664569015</c:v>
                </c:pt>
                <c:pt idx="38">
                  <c:v>42.152604451537108</c:v>
                </c:pt>
                <c:pt idx="39">
                  <c:v>43.532007521336681</c:v>
                </c:pt>
                <c:pt idx="40">
                  <c:v>44.956550217826702</c:v>
                </c:pt>
                <c:pt idx="41">
                  <c:v>46.4277096914807</c:v>
                </c:pt>
                <c:pt idx="42">
                  <c:v>47.947011431087837</c:v>
                </c:pt>
                <c:pt idx="43">
                  <c:v>49.516030845577326</c:v>
                </c:pt>
                <c:pt idx="44">
                  <c:v>51.136394897606593</c:v>
                </c:pt>
                <c:pt idx="45">
                  <c:v>52.809783790607007</c:v>
                </c:pt>
                <c:pt idx="46">
                  <c:v>54.53793271103649</c:v>
                </c:pt>
                <c:pt idx="47">
                  <c:v>56.322633627645757</c:v>
                </c:pt>
                <c:pt idx="48">
                  <c:v>58.165737149623709</c:v>
                </c:pt>
                <c:pt idx="49">
                  <c:v>60.069154445548833</c:v>
                </c:pt>
                <c:pt idx="50">
                  <c:v>62.034859225136493</c:v>
                </c:pt>
                <c:pt idx="51">
                  <c:v>64.064889785836939</c:v>
                </c:pt>
                <c:pt idx="52">
                  <c:v>66.161351126406188</c:v>
                </c:pt>
                <c:pt idx="53">
                  <c:v>68.32641712964157</c:v>
                </c:pt>
                <c:pt idx="54">
                  <c:v>70.562332816545165</c:v>
                </c:pt>
                <c:pt idx="55">
                  <c:v>72.871416674252401</c:v>
                </c:pt>
                <c:pt idx="56">
                  <c:v>75.256063060139994</c:v>
                </c:pt>
                <c:pt idx="57">
                  <c:v>77.718744684606037</c:v>
                </c:pt>
                <c:pt idx="58">
                  <c:v>80.262015175096579</c:v>
                </c:pt>
                <c:pt idx="59">
                  <c:v>82.888511724037357</c:v>
                </c:pt>
                <c:pt idx="60">
                  <c:v>85.600957823416778</c:v>
                </c:pt>
                <c:pt idx="61">
                  <c:v>88.402166088855282</c:v>
                </c:pt>
                <c:pt idx="62">
                  <c:v>91.295041176089725</c:v>
                </c:pt>
                <c:pt idx="63">
                  <c:v>94.282582792896832</c:v>
                </c:pt>
                <c:pt idx="64">
                  <c:v>97.367888809579085</c:v>
                </c:pt>
                <c:pt idx="65">
                  <c:v>100.55415847123793</c:v>
                </c:pt>
                <c:pt idx="66">
                  <c:v>103.8446957151657</c:v>
                </c:pt>
                <c:pt idx="67">
                  <c:v>107.2429125967961</c:v>
                </c:pt>
                <c:pt idx="68">
                  <c:v>110.75233282776533</c:v>
                </c:pt>
                <c:pt idx="69">
                  <c:v>114.37659542975291</c:v>
                </c:pt>
                <c:pt idx="70">
                  <c:v>118.1194585078912</c:v>
                </c:pt>
                <c:pt idx="71">
                  <c:v>121.98480314765534</c:v>
                </c:pt>
                <c:pt idx="72">
                  <c:v>125.97663743927612</c:v>
                </c:pt>
                <c:pt idx="73">
                  <c:v>130.099100633847</c:v>
                </c:pt>
                <c:pt idx="74">
                  <c:v>134.35646743543612</c:v>
                </c:pt>
                <c:pt idx="75">
                  <c:v>138.75315243365355</c:v>
                </c:pt>
                <c:pt idx="76">
                  <c:v>143.29371468126979</c:v>
                </c:pt>
                <c:pt idx="77">
                  <c:v>147.98286242163249</c:v>
                </c:pt>
                <c:pt idx="78">
                  <c:v>152.8254579707833</c:v>
                </c:pt>
                <c:pt idx="79">
                  <c:v>157.82652275933722</c:v>
                </c:pt>
                <c:pt idx="80">
                  <c:v>162.99124253935275</c:v>
                </c:pt>
                <c:pt idx="81">
                  <c:v>168.32497276159131</c:v>
                </c:pt>
                <c:pt idx="82">
                  <c:v>173.83324412874285</c:v>
                </c:pt>
                <c:pt idx="83">
                  <c:v>179.52176833037521</c:v>
                </c:pt>
                <c:pt idx="84">
                  <c:v>185.39644396555383</c:v>
                </c:pt>
                <c:pt idx="85">
                  <c:v>191.46336265927371</c:v>
                </c:pt>
                <c:pt idx="86">
                  <c:v>197.72881537904559</c:v>
                </c:pt>
                <c:pt idx="87">
                  <c:v>204.1992989581864</c:v>
                </c:pt>
                <c:pt idx="88">
                  <c:v>210.88152283257793</c:v>
                </c:pt>
                <c:pt idx="89">
                  <c:v>217.78241599787933</c:v>
                </c:pt>
                <c:pt idx="90">
                  <c:v>224.90913419440795</c:v>
                </c:pt>
                <c:pt idx="91">
                  <c:v>232.26906732713792</c:v>
                </c:pt>
                <c:pt idx="92">
                  <c:v>239.86984712851162</c:v>
                </c:pt>
                <c:pt idx="93">
                  <c:v>247.71935507200857</c:v>
                </c:pt>
                <c:pt idx="94">
                  <c:v>255.82573054467852</c:v>
                </c:pt>
                <c:pt idx="95">
                  <c:v>264.19737928711299</c:v>
                </c:pt>
                <c:pt idx="96">
                  <c:v>272.84298210960611</c:v>
                </c:pt>
                <c:pt idx="97">
                  <c:v>281.77150389354387</c:v>
                </c:pt>
                <c:pt idx="98">
                  <c:v>290.99220288735478</c:v>
                </c:pt>
                <c:pt idx="99">
                  <c:v>300.51464030666159</c:v>
                </c:pt>
                <c:pt idx="100">
                  <c:v>310.34869024858892</c:v>
                </c:pt>
              </c:numCache>
            </c:numRef>
          </c:val>
          <c:extLst>
            <c:ext xmlns:c16="http://schemas.microsoft.com/office/drawing/2014/chart" uri="{C3380CC4-5D6E-409C-BE32-E72D297353CC}">
              <c16:uniqueId val="{00000000-29F3-4468-9583-73A593AA0DB7}"/>
            </c:ext>
          </c:extLst>
        </c:ser>
        <c:dLbls>
          <c:showLegendKey val="0"/>
          <c:showVal val="0"/>
          <c:showCatName val="0"/>
          <c:showSerName val="0"/>
          <c:showPercent val="0"/>
          <c:showBubbleSize val="0"/>
        </c:dLbls>
        <c:gapWidth val="219"/>
        <c:overlap val="-27"/>
        <c:axId val="153536352"/>
        <c:axId val="153534688"/>
      </c:barChart>
      <c:lineChart>
        <c:grouping val="standard"/>
        <c:varyColors val="0"/>
        <c:ser>
          <c:idx val="1"/>
          <c:order val="1"/>
          <c:spPr>
            <a:ln w="34925" cap="rnd">
              <a:solidFill>
                <a:schemeClr val="accent2"/>
              </a:solidFill>
              <a:round/>
            </a:ln>
            <a:effectLst>
              <a:outerShdw blurRad="57150" dist="19050" dir="5400000" algn="ctr" rotWithShape="0">
                <a:srgbClr val="000000">
                  <a:alpha val="63000"/>
                </a:srgbClr>
              </a:outerShdw>
            </a:effectLst>
          </c:spPr>
          <c:marker>
            <c:symbol val="none"/>
          </c:marker>
          <c:cat>
            <c:numRef>
              <c:f>'Flow Curves'!$O$10:$O$110</c:f>
              <c:numCache>
                <c:formatCode>0.00</c:formatCode>
                <c:ptCount val="101"/>
                <c:pt idx="0">
                  <c:v>2</c:v>
                </c:pt>
                <c:pt idx="1">
                  <c:v>2.08</c:v>
                </c:pt>
                <c:pt idx="2">
                  <c:v>2.16</c:v>
                </c:pt>
                <c:pt idx="3">
                  <c:v>2.2400000000000002</c:v>
                </c:pt>
                <c:pt idx="4">
                  <c:v>2.3200000000000003</c:v>
                </c:pt>
                <c:pt idx="5">
                  <c:v>2.4000000000000004</c:v>
                </c:pt>
                <c:pt idx="6">
                  <c:v>2.4800000000000004</c:v>
                </c:pt>
                <c:pt idx="7">
                  <c:v>2.5600000000000005</c:v>
                </c:pt>
                <c:pt idx="8">
                  <c:v>2.6400000000000006</c:v>
                </c:pt>
                <c:pt idx="9">
                  <c:v>2.7200000000000006</c:v>
                </c:pt>
                <c:pt idx="10">
                  <c:v>2.8000000000000007</c:v>
                </c:pt>
                <c:pt idx="11">
                  <c:v>2.8800000000000008</c:v>
                </c:pt>
                <c:pt idx="12">
                  <c:v>2.9600000000000009</c:v>
                </c:pt>
                <c:pt idx="13">
                  <c:v>3.0400000000000009</c:v>
                </c:pt>
                <c:pt idx="14">
                  <c:v>3.120000000000001</c:v>
                </c:pt>
                <c:pt idx="15">
                  <c:v>3.2000000000000011</c:v>
                </c:pt>
                <c:pt idx="16">
                  <c:v>3.2800000000000011</c:v>
                </c:pt>
                <c:pt idx="17">
                  <c:v>3.3600000000000012</c:v>
                </c:pt>
                <c:pt idx="18">
                  <c:v>3.4400000000000013</c:v>
                </c:pt>
                <c:pt idx="19">
                  <c:v>3.5200000000000014</c:v>
                </c:pt>
                <c:pt idx="20">
                  <c:v>3.6000000000000014</c:v>
                </c:pt>
                <c:pt idx="21">
                  <c:v>3.6800000000000015</c:v>
                </c:pt>
                <c:pt idx="22">
                  <c:v>3.7600000000000016</c:v>
                </c:pt>
                <c:pt idx="23">
                  <c:v>3.8400000000000016</c:v>
                </c:pt>
                <c:pt idx="24">
                  <c:v>3.9200000000000017</c:v>
                </c:pt>
                <c:pt idx="25">
                  <c:v>4.0000000000000018</c:v>
                </c:pt>
                <c:pt idx="26">
                  <c:v>4.0800000000000018</c:v>
                </c:pt>
                <c:pt idx="27">
                  <c:v>4.1600000000000019</c:v>
                </c:pt>
                <c:pt idx="28">
                  <c:v>4.240000000000002</c:v>
                </c:pt>
                <c:pt idx="29">
                  <c:v>4.3200000000000021</c:v>
                </c:pt>
                <c:pt idx="30">
                  <c:v>4.4000000000000021</c:v>
                </c:pt>
                <c:pt idx="31">
                  <c:v>4.4800000000000022</c:v>
                </c:pt>
                <c:pt idx="32">
                  <c:v>4.5600000000000023</c:v>
                </c:pt>
                <c:pt idx="33">
                  <c:v>4.6400000000000023</c:v>
                </c:pt>
                <c:pt idx="34">
                  <c:v>4.7200000000000024</c:v>
                </c:pt>
                <c:pt idx="35">
                  <c:v>4.8000000000000025</c:v>
                </c:pt>
                <c:pt idx="36">
                  <c:v>4.8800000000000026</c:v>
                </c:pt>
                <c:pt idx="37">
                  <c:v>4.9600000000000026</c:v>
                </c:pt>
                <c:pt idx="38">
                  <c:v>5.0400000000000027</c:v>
                </c:pt>
                <c:pt idx="39">
                  <c:v>5.1200000000000028</c:v>
                </c:pt>
                <c:pt idx="40">
                  <c:v>5.2000000000000028</c:v>
                </c:pt>
                <c:pt idx="41">
                  <c:v>5.2800000000000029</c:v>
                </c:pt>
                <c:pt idx="42">
                  <c:v>5.360000000000003</c:v>
                </c:pt>
                <c:pt idx="43">
                  <c:v>5.4400000000000031</c:v>
                </c:pt>
                <c:pt idx="44">
                  <c:v>5.5200000000000031</c:v>
                </c:pt>
                <c:pt idx="45">
                  <c:v>5.6000000000000032</c:v>
                </c:pt>
                <c:pt idx="46">
                  <c:v>5.6800000000000033</c:v>
                </c:pt>
                <c:pt idx="47">
                  <c:v>5.7600000000000033</c:v>
                </c:pt>
                <c:pt idx="48">
                  <c:v>5.8400000000000034</c:v>
                </c:pt>
                <c:pt idx="49">
                  <c:v>5.9200000000000035</c:v>
                </c:pt>
                <c:pt idx="50">
                  <c:v>6.0000000000000036</c:v>
                </c:pt>
                <c:pt idx="51">
                  <c:v>6.0800000000000036</c:v>
                </c:pt>
                <c:pt idx="52">
                  <c:v>6.1600000000000037</c:v>
                </c:pt>
                <c:pt idx="53">
                  <c:v>6.2400000000000038</c:v>
                </c:pt>
                <c:pt idx="54">
                  <c:v>6.3200000000000038</c:v>
                </c:pt>
                <c:pt idx="55">
                  <c:v>6.4000000000000039</c:v>
                </c:pt>
                <c:pt idx="56">
                  <c:v>6.480000000000004</c:v>
                </c:pt>
                <c:pt idx="57">
                  <c:v>6.5600000000000041</c:v>
                </c:pt>
                <c:pt idx="58">
                  <c:v>6.6400000000000041</c:v>
                </c:pt>
                <c:pt idx="59">
                  <c:v>6.7200000000000042</c:v>
                </c:pt>
                <c:pt idx="60">
                  <c:v>6.8000000000000043</c:v>
                </c:pt>
                <c:pt idx="61">
                  <c:v>6.8800000000000043</c:v>
                </c:pt>
                <c:pt idx="62">
                  <c:v>6.9600000000000044</c:v>
                </c:pt>
                <c:pt idx="63">
                  <c:v>7.0400000000000045</c:v>
                </c:pt>
                <c:pt idx="64">
                  <c:v>7.1200000000000045</c:v>
                </c:pt>
                <c:pt idx="65">
                  <c:v>7.2000000000000046</c:v>
                </c:pt>
                <c:pt idx="66">
                  <c:v>7.2800000000000047</c:v>
                </c:pt>
                <c:pt idx="67">
                  <c:v>7.3600000000000048</c:v>
                </c:pt>
                <c:pt idx="68">
                  <c:v>7.4400000000000048</c:v>
                </c:pt>
                <c:pt idx="69">
                  <c:v>7.5200000000000049</c:v>
                </c:pt>
                <c:pt idx="70">
                  <c:v>7.600000000000005</c:v>
                </c:pt>
                <c:pt idx="71">
                  <c:v>7.680000000000005</c:v>
                </c:pt>
                <c:pt idx="72">
                  <c:v>7.7600000000000051</c:v>
                </c:pt>
                <c:pt idx="73">
                  <c:v>7.8400000000000052</c:v>
                </c:pt>
                <c:pt idx="74">
                  <c:v>7.9200000000000053</c:v>
                </c:pt>
                <c:pt idx="75">
                  <c:v>8.0000000000000053</c:v>
                </c:pt>
                <c:pt idx="76">
                  <c:v>8.0800000000000054</c:v>
                </c:pt>
                <c:pt idx="77">
                  <c:v>8.1600000000000055</c:v>
                </c:pt>
                <c:pt idx="78">
                  <c:v>8.2400000000000055</c:v>
                </c:pt>
                <c:pt idx="79">
                  <c:v>8.3200000000000056</c:v>
                </c:pt>
                <c:pt idx="80">
                  <c:v>8.4000000000000057</c:v>
                </c:pt>
                <c:pt idx="81">
                  <c:v>8.4800000000000058</c:v>
                </c:pt>
                <c:pt idx="82">
                  <c:v>8.5600000000000058</c:v>
                </c:pt>
                <c:pt idx="83">
                  <c:v>8.6400000000000059</c:v>
                </c:pt>
                <c:pt idx="84">
                  <c:v>8.720000000000006</c:v>
                </c:pt>
                <c:pt idx="85">
                  <c:v>8.800000000000006</c:v>
                </c:pt>
                <c:pt idx="86">
                  <c:v>8.8800000000000061</c:v>
                </c:pt>
                <c:pt idx="87">
                  <c:v>8.9600000000000062</c:v>
                </c:pt>
                <c:pt idx="88">
                  <c:v>9.0400000000000063</c:v>
                </c:pt>
                <c:pt idx="89">
                  <c:v>9.1200000000000063</c:v>
                </c:pt>
                <c:pt idx="90">
                  <c:v>9.2000000000000064</c:v>
                </c:pt>
                <c:pt idx="91">
                  <c:v>9.2800000000000065</c:v>
                </c:pt>
                <c:pt idx="92">
                  <c:v>9.3600000000000065</c:v>
                </c:pt>
                <c:pt idx="93">
                  <c:v>9.4400000000000066</c:v>
                </c:pt>
                <c:pt idx="94">
                  <c:v>9.5200000000000067</c:v>
                </c:pt>
                <c:pt idx="95">
                  <c:v>9.6000000000000068</c:v>
                </c:pt>
                <c:pt idx="96">
                  <c:v>9.6800000000000068</c:v>
                </c:pt>
                <c:pt idx="97">
                  <c:v>9.7600000000000069</c:v>
                </c:pt>
                <c:pt idx="98">
                  <c:v>9.840000000000007</c:v>
                </c:pt>
                <c:pt idx="99">
                  <c:v>9.920000000000007</c:v>
                </c:pt>
                <c:pt idx="100">
                  <c:v>10</c:v>
                </c:pt>
              </c:numCache>
            </c:numRef>
          </c:cat>
          <c:val>
            <c:numRef>
              <c:f>'Flow Curves'!$Q$10:$Q$110</c:f>
              <c:numCache>
                <c:formatCode>#,##0</c:formatCode>
                <c:ptCount val="101"/>
                <c:pt idx="0">
                  <c:v>0</c:v>
                </c:pt>
                <c:pt idx="1">
                  <c:v>0</c:v>
                </c:pt>
                <c:pt idx="2">
                  <c:v>0</c:v>
                </c:pt>
                <c:pt idx="3">
                  <c:v>0</c:v>
                </c:pt>
                <c:pt idx="4">
                  <c:v>0</c:v>
                </c:pt>
                <c:pt idx="5">
                  <c:v>0</c:v>
                </c:pt>
                <c:pt idx="6">
                  <c:v>0</c:v>
                </c:pt>
                <c:pt idx="7">
                  <c:v>93210.086663527341</c:v>
                </c:pt>
                <c:pt idx="8">
                  <c:v>96260.296285278513</c:v>
                </c:pt>
                <c:pt idx="9">
                  <c:v>99410.321056544824</c:v>
                </c:pt>
                <c:pt idx="10">
                  <c:v>102663.42733121914</c:v>
                </c:pt>
                <c:pt idx="11">
                  <c:v>106022.98835145558</c:v>
                </c:pt>
                <c:pt idx="12">
                  <c:v>109492.48774548386</c:v>
                </c:pt>
                <c:pt idx="13">
                  <c:v>113075.52313988654</c:v>
                </c:pt>
                <c:pt idx="14">
                  <c:v>116775.80989008436</c:v>
                </c:pt>
                <c:pt idx="15">
                  <c:v>120597.18493289834</c:v>
                </c:pt>
                <c:pt idx="16">
                  <c:v>124543.61076518308</c:v>
                </c:pt>
                <c:pt idx="17">
                  <c:v>128619.17955265696</c:v>
                </c:pt>
                <c:pt idx="18">
                  <c:v>132828.11737318983</c:v>
                </c:pt>
                <c:pt idx="19">
                  <c:v>137174.7885989483</c:v>
                </c:pt>
                <c:pt idx="20">
                  <c:v>141663.7004219424</c:v>
                </c:pt>
                <c:pt idx="21">
                  <c:v>146299.50752766605</c:v>
                </c:pt>
                <c:pt idx="22">
                  <c:v>151087.01692167856</c:v>
                </c:pt>
                <c:pt idx="23">
                  <c:v>156031.19291413078</c:v>
                </c:pt>
                <c:pt idx="24">
                  <c:v>161137.16226740507</c:v>
                </c:pt>
                <c:pt idx="25">
                  <c:v>166410.21951220703</c:v>
                </c:pt>
                <c:pt idx="26">
                  <c:v>171855.83243762117</c:v>
                </c:pt>
                <c:pt idx="27">
                  <c:v>177479.6477608229</c:v>
                </c:pt>
                <c:pt idx="28">
                  <c:v>183287.49698232693</c:v>
                </c:pt>
                <c:pt idx="29">
                  <c:v>189285.40243284244</c:v>
                </c:pt>
                <c:pt idx="30">
                  <c:v>195479.58351800646</c:v>
                </c:pt>
                <c:pt idx="31">
                  <c:v>201876.46316746896</c:v>
                </c:pt>
                <c:pt idx="32">
                  <c:v>208482.67449501914</c:v>
                </c:pt>
                <c:pt idx="33">
                  <c:v>215305.06767665729</c:v>
                </c:pt>
                <c:pt idx="34">
                  <c:v>222350.71705374474</c:v>
                </c:pt>
                <c:pt idx="35">
                  <c:v>229626.92846859802</c:v>
                </c:pt>
                <c:pt idx="36">
                  <c:v>237141.24684013295</c:v>
                </c:pt>
                <c:pt idx="37">
                  <c:v>244901.46398741411</c:v>
                </c:pt>
                <c:pt idx="38">
                  <c:v>252915.62670922265</c:v>
                </c:pt>
                <c:pt idx="39">
                  <c:v>261192.04512802008</c:v>
                </c:pt>
                <c:pt idx="40">
                  <c:v>269739.30130696023</c:v>
                </c:pt>
                <c:pt idx="41">
                  <c:v>278566.25814888423</c:v>
                </c:pt>
                <c:pt idx="42">
                  <c:v>287682.06858652702</c:v>
                </c:pt>
                <c:pt idx="43">
                  <c:v>297096.18507346394</c:v>
                </c:pt>
                <c:pt idx="44">
                  <c:v>306818.36938563961</c:v>
                </c:pt>
                <c:pt idx="45">
                  <c:v>316858.70274364203</c:v>
                </c:pt>
                <c:pt idx="46">
                  <c:v>327227.59626621893</c:v>
                </c:pt>
                <c:pt idx="47">
                  <c:v>337935.80176587455</c:v>
                </c:pt>
                <c:pt idx="48">
                  <c:v>348994.42289774225</c:v>
                </c:pt>
                <c:pt idx="49">
                  <c:v>360414.926673293</c:v>
                </c:pt>
                <c:pt idx="50">
                  <c:v>372209.15535081894</c:v>
                </c:pt>
                <c:pt idx="51">
                  <c:v>384389.33871502161</c:v>
                </c:pt>
                <c:pt idx="52">
                  <c:v>396968.10675843712</c:v>
                </c:pt>
                <c:pt idx="53">
                  <c:v>409958.50277784938</c:v>
                </c:pt>
                <c:pt idx="54">
                  <c:v>423373.99689927098</c:v>
                </c:pt>
                <c:pt idx="55">
                  <c:v>437228.50004551443</c:v>
                </c:pt>
                <c:pt idx="56">
                  <c:v>451536.37836083997</c:v>
                </c:pt>
                <c:pt idx="57">
                  <c:v>466312.4681076362</c:v>
                </c:pt>
                <c:pt idx="58">
                  <c:v>481572.0910505795</c:v>
                </c:pt>
                <c:pt idx="59">
                  <c:v>497331.07034422416</c:v>
                </c:pt>
                <c:pt idx="60">
                  <c:v>513605.74694050069</c:v>
                </c:pt>
                <c:pt idx="61">
                  <c:v>530412.99653313169</c:v>
                </c:pt>
                <c:pt idx="62">
                  <c:v>547770.24705653836</c:v>
                </c:pt>
                <c:pt idx="63">
                  <c:v>565695.49675738101</c:v>
                </c:pt>
                <c:pt idx="64">
                  <c:v>584207.33285747457</c:v>
                </c:pt>
                <c:pt idx="65">
                  <c:v>603324.95082742756</c:v>
                </c:pt>
                <c:pt idx="66">
                  <c:v>623068.17429099418</c:v>
                </c:pt>
                <c:pt idx="67">
                  <c:v>643457.47558077669</c:v>
                </c:pt>
                <c:pt idx="68">
                  <c:v>664513.99696659204</c:v>
                </c:pt>
                <c:pt idx="69">
                  <c:v>686259.57257851749</c:v>
                </c:pt>
                <c:pt idx="70">
                  <c:v>708716.75104734721</c:v>
                </c:pt>
                <c:pt idx="71">
                  <c:v>731908.81888593209</c:v>
                </c:pt>
                <c:pt idx="72">
                  <c:v>755859.82463565667</c:v>
                </c:pt>
                <c:pt idx="73">
                  <c:v>780594.60380308202</c:v>
                </c:pt>
                <c:pt idx="74">
                  <c:v>806138.80461261666</c:v>
                </c:pt>
                <c:pt idx="75">
                  <c:v>832518.91460192134</c:v>
                </c:pt>
                <c:pt idx="76">
                  <c:v>859762.28808761877</c:v>
                </c:pt>
                <c:pt idx="77">
                  <c:v>887897.17452979495</c:v>
                </c:pt>
                <c:pt idx="78">
                  <c:v>916952.74782469985</c:v>
                </c:pt>
                <c:pt idx="79">
                  <c:v>946959.13655602338</c:v>
                </c:pt>
                <c:pt idx="80">
                  <c:v>977947.45523611654</c:v>
                </c:pt>
                <c:pt idx="81">
                  <c:v>1009949.8365695479</c:v>
                </c:pt>
                <c:pt idx="82">
                  <c:v>1042999.464772457</c:v>
                </c:pt>
                <c:pt idx="83">
                  <c:v>1077130.6099822514</c:v>
                </c:pt>
                <c:pt idx="84">
                  <c:v>1112378.6637933231</c:v>
                </c:pt>
                <c:pt idx="85">
                  <c:v>1148780.1759556422</c:v>
                </c:pt>
                <c:pt idx="86">
                  <c:v>1186372.8922742736</c:v>
                </c:pt>
                <c:pt idx="87">
                  <c:v>1225195.7937491185</c:v>
                </c:pt>
                <c:pt idx="88">
                  <c:v>1265289.1369954676</c:v>
                </c:pt>
                <c:pt idx="89">
                  <c:v>1306694.4959872761</c:v>
                </c:pt>
                <c:pt idx="90">
                  <c:v>1349454.8051664478</c:v>
                </c:pt>
                <c:pt idx="91">
                  <c:v>1393614.4039628275</c:v>
                </c:pt>
                <c:pt idx="92">
                  <c:v>1439219.0827710696</c:v>
                </c:pt>
                <c:pt idx="93">
                  <c:v>1486316.1304320516</c:v>
                </c:pt>
                <c:pt idx="94">
                  <c:v>1534954.3832680711</c:v>
                </c:pt>
                <c:pt idx="95">
                  <c:v>1585184.2757226781</c:v>
                </c:pt>
                <c:pt idx="96">
                  <c:v>1637057.8926576369</c:v>
                </c:pt>
                <c:pt idx="97">
                  <c:v>1690629.0233612631</c:v>
                </c:pt>
                <c:pt idx="98">
                  <c:v>1745953.2173241286</c:v>
                </c:pt>
                <c:pt idx="99">
                  <c:v>1803087.8418399696</c:v>
                </c:pt>
                <c:pt idx="100">
                  <c:v>1862092.1414915335</c:v>
                </c:pt>
              </c:numCache>
            </c:numRef>
          </c:val>
          <c:smooth val="0"/>
          <c:extLst>
            <c:ext xmlns:c16="http://schemas.microsoft.com/office/drawing/2014/chart" uri="{C3380CC4-5D6E-409C-BE32-E72D297353CC}">
              <c16:uniqueId val="{00000001-29F3-4468-9583-73A593AA0DB7}"/>
            </c:ext>
          </c:extLst>
        </c:ser>
        <c:dLbls>
          <c:showLegendKey val="0"/>
          <c:showVal val="0"/>
          <c:showCatName val="0"/>
          <c:showSerName val="0"/>
          <c:showPercent val="0"/>
          <c:showBubbleSize val="0"/>
        </c:dLbls>
        <c:marker val="1"/>
        <c:smooth val="0"/>
        <c:axId val="153523872"/>
        <c:axId val="153523456"/>
      </c:lineChart>
      <c:catAx>
        <c:axId val="153536352"/>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DDC Input Voltage</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0.00"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3534688"/>
        <c:crosses val="autoZero"/>
        <c:auto val="1"/>
        <c:lblAlgn val="ctr"/>
        <c:lblOffset val="100"/>
        <c:noMultiLvlLbl val="0"/>
      </c:catAx>
      <c:valAx>
        <c:axId val="153534688"/>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GPM</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3536352"/>
        <c:crosses val="autoZero"/>
        <c:crossBetween val="between"/>
      </c:valAx>
      <c:valAx>
        <c:axId val="153523456"/>
        <c:scaling>
          <c:orientation val="minMax"/>
        </c:scaling>
        <c:delete val="0"/>
        <c:axPos val="r"/>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BTU/h</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3523872"/>
        <c:crosses val="max"/>
        <c:crossBetween val="between"/>
      </c:valAx>
      <c:catAx>
        <c:axId val="153523872"/>
        <c:scaling>
          <c:orientation val="minMax"/>
        </c:scaling>
        <c:delete val="1"/>
        <c:axPos val="t"/>
        <c:numFmt formatCode="0.00" sourceLinked="1"/>
        <c:majorTickMark val="none"/>
        <c:minorTickMark val="none"/>
        <c:tickLblPos val="nextTo"/>
        <c:crossAx val="153523456"/>
        <c:crosses val="max"/>
        <c:auto val="1"/>
        <c:lblAlgn val="ctr"/>
        <c:lblOffset val="100"/>
        <c:noMultiLvlLbl val="0"/>
      </c:cat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 % Open to GPM</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spPr>
            <a:ln w="34925" cap="rnd">
              <a:solidFill>
                <a:schemeClr val="accent1"/>
              </a:solidFill>
              <a:round/>
            </a:ln>
            <a:effectLst>
              <a:outerShdw blurRad="57150" dist="19050" dir="5400000" algn="ctr" rotWithShape="0">
                <a:srgbClr val="000000">
                  <a:alpha val="63000"/>
                </a:srgbClr>
              </a:outerShdw>
            </a:effectLst>
          </c:spPr>
          <c:marker>
            <c:symbol val="none"/>
          </c:marker>
          <c:val>
            <c:numRef>
              <c:f>'Flow Curves'!$L$10:$L$110</c:f>
              <c:numCache>
                <c:formatCode>0.0%</c:formatCode>
                <c:ptCount val="101"/>
                <c:pt idx="0">
                  <c:v>0.04</c:v>
                </c:pt>
                <c:pt idx="1">
                  <c:v>4.1308961178316256E-2</c:v>
                </c:pt>
                <c:pt idx="2">
                  <c:v>4.266075684079098E-2</c:v>
                </c:pt>
                <c:pt idx="3">
                  <c:v>4.4056788704345602E-2</c:v>
                </c:pt>
                <c:pt idx="4">
                  <c:v>4.5498504355727366E-2</c:v>
                </c:pt>
                <c:pt idx="5">
                  <c:v>4.6987398752554865E-2</c:v>
                </c:pt>
                <c:pt idx="6">
                  <c:v>4.8525015773483865E-2</c:v>
                </c:pt>
                <c:pt idx="7">
                  <c:v>5.0112949819100722E-2</c:v>
                </c:pt>
                <c:pt idx="8">
                  <c:v>5.1752847465203498E-2</c:v>
                </c:pt>
                <c:pt idx="9">
                  <c:v>5.3446409170185401E-2</c:v>
                </c:pt>
                <c:pt idx="10">
                  <c:v>5.5195391038289861E-2</c:v>
                </c:pt>
                <c:pt idx="11">
                  <c:v>5.7001606640567512E-2</c:v>
                </c:pt>
                <c:pt idx="12">
                  <c:v>5.886692889542143E-2</c:v>
                </c:pt>
                <c:pt idx="13">
                  <c:v>6.0793292010691682E-2</c:v>
                </c:pt>
                <c:pt idx="14">
                  <c:v>6.2782693489292662E-2</c:v>
                </c:pt>
                <c:pt idx="15">
                  <c:v>6.4837196200482977E-2</c:v>
                </c:pt>
                <c:pt idx="16">
                  <c:v>6.6958930518915633E-2</c:v>
                </c:pt>
                <c:pt idx="17">
                  <c:v>6.9150096533686534E-2</c:v>
                </c:pt>
                <c:pt idx="18">
                  <c:v>7.1412966329671951E-2</c:v>
                </c:pt>
                <c:pt idx="19">
                  <c:v>7.3749886343520601E-2</c:v>
                </c:pt>
                <c:pt idx="20">
                  <c:v>7.6163279796743227E-2</c:v>
                </c:pt>
                <c:pt idx="21">
                  <c:v>7.8655649208422607E-2</c:v>
                </c:pt>
                <c:pt idx="22">
                  <c:v>8.1229578990149764E-2</c:v>
                </c:pt>
                <c:pt idx="23">
                  <c:v>8.3887738125876757E-2</c:v>
                </c:pt>
                <c:pt idx="24">
                  <c:v>8.6632882939465083E-2</c:v>
                </c:pt>
                <c:pt idx="25">
                  <c:v>8.9467859952799475E-2</c:v>
                </c:pt>
                <c:pt idx="26">
                  <c:v>9.2395608837430726E-2</c:v>
                </c:pt>
                <c:pt idx="27">
                  <c:v>9.5419165462808014E-2</c:v>
                </c:pt>
                <c:pt idx="28">
                  <c:v>9.8541665044261789E-2</c:v>
                </c:pt>
                <c:pt idx="29">
                  <c:v>0.10176634539400131</c:v>
                </c:pt>
                <c:pt idx="30">
                  <c:v>0.10509655027849808</c:v>
                </c:pt>
                <c:pt idx="31">
                  <c:v>0.10853573288573599</c:v>
                </c:pt>
                <c:pt idx="32">
                  <c:v>0.11208745940592425</c:v>
                </c:pt>
                <c:pt idx="33">
                  <c:v>0.11575541272938564</c:v>
                </c:pt>
                <c:pt idx="34">
                  <c:v>0.11954339626545415</c:v>
                </c:pt>
                <c:pt idx="35">
                  <c:v>0.12345533788634301</c:v>
                </c:pt>
                <c:pt idx="36">
                  <c:v>0.12749529400007148</c:v>
                </c:pt>
                <c:pt idx="37">
                  <c:v>0.13166745375667424</c:v>
                </c:pt>
                <c:pt idx="38">
                  <c:v>0.13597614339205519</c:v>
                </c:pt>
                <c:pt idx="39">
                  <c:v>0.14042583071398929</c:v>
                </c:pt>
                <c:pt idx="40">
                  <c:v>0.14502112973492484</c:v>
                </c:pt>
                <c:pt idx="41">
                  <c:v>0.14976680545638935</c:v>
                </c:pt>
                <c:pt idx="42">
                  <c:v>0.15466777880996077</c:v>
                </c:pt>
                <c:pt idx="43">
                  <c:v>0.15972913175992687</c:v>
                </c:pt>
                <c:pt idx="44">
                  <c:v>0.1649561125729245</c:v>
                </c:pt>
                <c:pt idx="45">
                  <c:v>0.1703541412600226</c:v>
                </c:pt>
                <c:pt idx="46">
                  <c:v>0.17592881519689191</c:v>
                </c:pt>
                <c:pt idx="47">
                  <c:v>0.18168591492788955</c:v>
                </c:pt>
                <c:pt idx="48">
                  <c:v>0.18763141016007648</c:v>
                </c:pt>
                <c:pt idx="49">
                  <c:v>0.19377146595338332</c:v>
                </c:pt>
                <c:pt idx="50">
                  <c:v>0.20011244911334353</c:v>
                </c:pt>
                <c:pt idx="51">
                  <c:v>0.20666093479302239</c:v>
                </c:pt>
                <c:pt idx="52">
                  <c:v>0.21342371331098769</c:v>
                </c:pt>
                <c:pt idx="53">
                  <c:v>0.22040779719239217</c:v>
                </c:pt>
                <c:pt idx="54">
                  <c:v>0.22762042844046829</c:v>
                </c:pt>
                <c:pt idx="55">
                  <c:v>0.23506908604597548</c:v>
                </c:pt>
                <c:pt idx="56">
                  <c:v>0.24276149374238709</c:v>
                </c:pt>
                <c:pt idx="57">
                  <c:v>0.25070562801485818</c:v>
                </c:pt>
                <c:pt idx="58">
                  <c:v>0.25890972637127929</c:v>
                </c:pt>
                <c:pt idx="59">
                  <c:v>0.26738229588399148</c:v>
                </c:pt>
                <c:pt idx="60">
                  <c:v>0.27613212201102189</c:v>
                </c:pt>
                <c:pt idx="61">
                  <c:v>0.2851682777059848</c:v>
                </c:pt>
                <c:pt idx="62">
                  <c:v>0.29450013282609588</c:v>
                </c:pt>
                <c:pt idx="63">
                  <c:v>0.30413736384805429</c:v>
                </c:pt>
                <c:pt idx="64">
                  <c:v>0.314089963901868</c:v>
                </c:pt>
                <c:pt idx="65">
                  <c:v>0.32436825313302559</c:v>
                </c:pt>
                <c:pt idx="66">
                  <c:v>0.33498288940376031</c:v>
                </c:pt>
                <c:pt idx="67">
                  <c:v>0.34594487934450358</c:v>
                </c:pt>
                <c:pt idx="68">
                  <c:v>0.35726558976698491</c:v>
                </c:pt>
                <c:pt idx="69">
                  <c:v>0.36895675945081585</c:v>
                </c:pt>
                <c:pt idx="70">
                  <c:v>0.38103051131577803</c:v>
                </c:pt>
                <c:pt idx="71">
                  <c:v>0.3934993649924366</c:v>
                </c:pt>
                <c:pt idx="72">
                  <c:v>0.40637624980411652</c:v>
                </c:pt>
                <c:pt idx="73">
                  <c:v>0.4196745181737</c:v>
                </c:pt>
                <c:pt idx="74">
                  <c:v>0.43340795946914873</c:v>
                </c:pt>
                <c:pt idx="75">
                  <c:v>0.44759081430210823</c:v>
                </c:pt>
                <c:pt idx="76">
                  <c:v>0.46223778929441872</c:v>
                </c:pt>
                <c:pt idx="77">
                  <c:v>0.47736407232784672</c:v>
                </c:pt>
                <c:pt idx="78">
                  <c:v>0.49298534829284935</c:v>
                </c:pt>
                <c:pt idx="79">
                  <c:v>0.50911781535270073</c:v>
                </c:pt>
                <c:pt idx="80">
                  <c:v>0.52577820173984757</c:v>
                </c:pt>
                <c:pt idx="81">
                  <c:v>0.54298378310190742</c:v>
                </c:pt>
                <c:pt idx="82">
                  <c:v>0.5607524004152995</c:v>
                </c:pt>
                <c:pt idx="83">
                  <c:v>0.57910247848508134</c:v>
                </c:pt>
                <c:pt idx="84">
                  <c:v>0.59805304505017365</c:v>
                </c:pt>
                <c:pt idx="85">
                  <c:v>0.61762375051378615</c:v>
                </c:pt>
                <c:pt idx="86">
                  <c:v>0.63783488831950186</c:v>
                </c:pt>
                <c:pt idx="87">
                  <c:v>0.65870741599414973</c:v>
                </c:pt>
                <c:pt idx="88">
                  <c:v>0.68026297687928361</c:v>
                </c:pt>
                <c:pt idx="89">
                  <c:v>0.70252392257380425</c:v>
                </c:pt>
                <c:pt idx="90">
                  <c:v>0.72551333611099345</c:v>
                </c:pt>
                <c:pt idx="91">
                  <c:v>0.74925505589399333</c:v>
                </c:pt>
                <c:pt idx="92">
                  <c:v>0.77377370041455362</c:v>
                </c:pt>
                <c:pt idx="93">
                  <c:v>0.79909469378067277</c:v>
                </c:pt>
                <c:pt idx="94">
                  <c:v>0.82524429207960814</c:v>
                </c:pt>
                <c:pt idx="95">
                  <c:v>0.85224961060359028</c:v>
                </c:pt>
                <c:pt idx="96">
                  <c:v>0.88013865196647134</c:v>
                </c:pt>
                <c:pt idx="97">
                  <c:v>0.90894033514046402</c:v>
                </c:pt>
                <c:pt idx="98">
                  <c:v>0.9386845254430799</c:v>
                </c:pt>
                <c:pt idx="99">
                  <c:v>0.9694020655053599</c:v>
                </c:pt>
                <c:pt idx="100">
                  <c:v>1.0011248072535126</c:v>
                </c:pt>
              </c:numCache>
            </c:numRef>
          </c:val>
          <c:smooth val="0"/>
          <c:extLst>
            <c:ext xmlns:c16="http://schemas.microsoft.com/office/drawing/2014/chart" uri="{C3380CC4-5D6E-409C-BE32-E72D297353CC}">
              <c16:uniqueId val="{00000000-BE95-4C24-BD46-1A54B23AC8D6}"/>
            </c:ext>
          </c:extLst>
        </c:ser>
        <c:ser>
          <c:idx val="1"/>
          <c:order val="1"/>
          <c:spPr>
            <a:ln w="34925" cap="rnd">
              <a:solidFill>
                <a:schemeClr val="accent2"/>
              </a:solidFill>
              <a:round/>
            </a:ln>
            <a:effectLst>
              <a:outerShdw blurRad="57150" dist="19050" dir="5400000" algn="ctr" rotWithShape="0">
                <a:srgbClr val="000000">
                  <a:alpha val="63000"/>
                </a:srgbClr>
              </a:outerShdw>
            </a:effectLst>
          </c:spPr>
          <c:marker>
            <c:symbol val="none"/>
          </c:marker>
          <c:val>
            <c:numRef>
              <c:f>'Flow Curves'!$M$10:$M$110</c:f>
              <c:numCache>
                <c:formatCode>#,##0.00</c:formatCode>
                <c:ptCount val="101"/>
                <c:pt idx="0">
                  <c:v>0</c:v>
                </c:pt>
                <c:pt idx="1">
                  <c:v>0</c:v>
                </c:pt>
                <c:pt idx="2">
                  <c:v>0</c:v>
                </c:pt>
                <c:pt idx="3">
                  <c:v>0</c:v>
                </c:pt>
                <c:pt idx="4">
                  <c:v>0</c:v>
                </c:pt>
                <c:pt idx="5">
                  <c:v>0</c:v>
                </c:pt>
                <c:pt idx="6">
                  <c:v>0</c:v>
                </c:pt>
                <c:pt idx="7">
                  <c:v>15.535014443921224</c:v>
                </c:pt>
                <c:pt idx="8">
                  <c:v>16.043382714213084</c:v>
                </c:pt>
                <c:pt idx="9">
                  <c:v>16.568386842757473</c:v>
                </c:pt>
                <c:pt idx="10">
                  <c:v>17.110571221869858</c:v>
                </c:pt>
                <c:pt idx="11">
                  <c:v>17.67049805857593</c:v>
                </c:pt>
                <c:pt idx="12">
                  <c:v>18.248747957580644</c:v>
                </c:pt>
                <c:pt idx="13">
                  <c:v>18.845920523314422</c:v>
                </c:pt>
                <c:pt idx="14">
                  <c:v>19.462634981680726</c:v>
                </c:pt>
                <c:pt idx="15">
                  <c:v>20.099530822149724</c:v>
                </c:pt>
                <c:pt idx="16">
                  <c:v>20.757268460863845</c:v>
                </c:pt>
                <c:pt idx="17">
                  <c:v>21.436529925442827</c:v>
                </c:pt>
                <c:pt idx="18">
                  <c:v>22.138019562198306</c:v>
                </c:pt>
                <c:pt idx="19">
                  <c:v>22.862464766491385</c:v>
                </c:pt>
                <c:pt idx="20">
                  <c:v>23.610616736990401</c:v>
                </c:pt>
                <c:pt idx="21">
                  <c:v>24.383251254611007</c:v>
                </c:pt>
                <c:pt idx="22">
                  <c:v>25.181169486946427</c:v>
                </c:pt>
                <c:pt idx="23">
                  <c:v>26.005198819021796</c:v>
                </c:pt>
                <c:pt idx="24">
                  <c:v>26.856193711234177</c:v>
                </c:pt>
                <c:pt idx="25">
                  <c:v>27.735036585367837</c:v>
                </c:pt>
                <c:pt idx="26">
                  <c:v>28.642638739603527</c:v>
                </c:pt>
                <c:pt idx="27">
                  <c:v>29.579941293470483</c:v>
                </c:pt>
                <c:pt idx="28">
                  <c:v>30.547916163721155</c:v>
                </c:pt>
                <c:pt idx="29">
                  <c:v>31.547567072140406</c:v>
                </c:pt>
                <c:pt idx="30">
                  <c:v>32.579930586334406</c:v>
                </c:pt>
                <c:pt idx="31">
                  <c:v>33.646077194578162</c:v>
                </c:pt>
                <c:pt idx="32">
                  <c:v>34.747112415836519</c:v>
                </c:pt>
                <c:pt idx="33">
                  <c:v>35.884177946109546</c:v>
                </c:pt>
                <c:pt idx="34">
                  <c:v>37.058452842290791</c:v>
                </c:pt>
                <c:pt idx="35">
                  <c:v>38.271154744766335</c:v>
                </c:pt>
                <c:pt idx="36">
                  <c:v>39.523541140022161</c:v>
                </c:pt>
                <c:pt idx="37">
                  <c:v>40.816910664569015</c:v>
                </c:pt>
                <c:pt idx="38">
                  <c:v>42.152604451537108</c:v>
                </c:pt>
                <c:pt idx="39">
                  <c:v>43.532007521336681</c:v>
                </c:pt>
                <c:pt idx="40">
                  <c:v>44.956550217826702</c:v>
                </c:pt>
                <c:pt idx="41">
                  <c:v>46.4277096914807</c:v>
                </c:pt>
                <c:pt idx="42">
                  <c:v>47.947011431087837</c:v>
                </c:pt>
                <c:pt idx="43">
                  <c:v>49.516030845577326</c:v>
                </c:pt>
                <c:pt idx="44">
                  <c:v>51.136394897606593</c:v>
                </c:pt>
                <c:pt idx="45">
                  <c:v>52.809783790607007</c:v>
                </c:pt>
                <c:pt idx="46">
                  <c:v>54.53793271103649</c:v>
                </c:pt>
                <c:pt idx="47">
                  <c:v>56.322633627645757</c:v>
                </c:pt>
                <c:pt idx="48">
                  <c:v>58.165737149623709</c:v>
                </c:pt>
                <c:pt idx="49">
                  <c:v>60.069154445548833</c:v>
                </c:pt>
                <c:pt idx="50">
                  <c:v>62.034859225136493</c:v>
                </c:pt>
                <c:pt idx="51">
                  <c:v>64.064889785836939</c:v>
                </c:pt>
                <c:pt idx="52">
                  <c:v>66.161351126406188</c:v>
                </c:pt>
                <c:pt idx="53">
                  <c:v>68.32641712964157</c:v>
                </c:pt>
                <c:pt idx="54">
                  <c:v>70.562332816545165</c:v>
                </c:pt>
                <c:pt idx="55">
                  <c:v>72.871416674252401</c:v>
                </c:pt>
                <c:pt idx="56">
                  <c:v>75.256063060139994</c:v>
                </c:pt>
                <c:pt idx="57">
                  <c:v>77.718744684606037</c:v>
                </c:pt>
                <c:pt idx="58">
                  <c:v>80.262015175096579</c:v>
                </c:pt>
                <c:pt idx="59">
                  <c:v>82.888511724037357</c:v>
                </c:pt>
                <c:pt idx="60">
                  <c:v>85.600957823416778</c:v>
                </c:pt>
                <c:pt idx="61">
                  <c:v>88.402166088855282</c:v>
                </c:pt>
                <c:pt idx="62">
                  <c:v>91.295041176089725</c:v>
                </c:pt>
                <c:pt idx="63">
                  <c:v>94.282582792896832</c:v>
                </c:pt>
                <c:pt idx="64">
                  <c:v>97.367888809579085</c:v>
                </c:pt>
                <c:pt idx="65">
                  <c:v>100.55415847123793</c:v>
                </c:pt>
                <c:pt idx="66">
                  <c:v>103.8446957151657</c:v>
                </c:pt>
                <c:pt idx="67">
                  <c:v>107.2429125967961</c:v>
                </c:pt>
                <c:pt idx="68">
                  <c:v>110.75233282776533</c:v>
                </c:pt>
                <c:pt idx="69">
                  <c:v>114.37659542975291</c:v>
                </c:pt>
                <c:pt idx="70">
                  <c:v>118.1194585078912</c:v>
                </c:pt>
                <c:pt idx="71">
                  <c:v>121.98480314765534</c:v>
                </c:pt>
                <c:pt idx="72">
                  <c:v>125.97663743927612</c:v>
                </c:pt>
                <c:pt idx="73">
                  <c:v>130.099100633847</c:v>
                </c:pt>
                <c:pt idx="74">
                  <c:v>134.35646743543612</c:v>
                </c:pt>
                <c:pt idx="75">
                  <c:v>138.75315243365355</c:v>
                </c:pt>
                <c:pt idx="76">
                  <c:v>143.29371468126979</c:v>
                </c:pt>
                <c:pt idx="77">
                  <c:v>147.98286242163249</c:v>
                </c:pt>
                <c:pt idx="78">
                  <c:v>152.8254579707833</c:v>
                </c:pt>
                <c:pt idx="79">
                  <c:v>157.82652275933722</c:v>
                </c:pt>
                <c:pt idx="80">
                  <c:v>162.99124253935275</c:v>
                </c:pt>
                <c:pt idx="81">
                  <c:v>168.32497276159131</c:v>
                </c:pt>
                <c:pt idx="82">
                  <c:v>173.83324412874285</c:v>
                </c:pt>
                <c:pt idx="83">
                  <c:v>179.52176833037521</c:v>
                </c:pt>
                <c:pt idx="84">
                  <c:v>185.39644396555383</c:v>
                </c:pt>
                <c:pt idx="85">
                  <c:v>191.46336265927371</c:v>
                </c:pt>
                <c:pt idx="86">
                  <c:v>197.72881537904559</c:v>
                </c:pt>
                <c:pt idx="87">
                  <c:v>204.1992989581864</c:v>
                </c:pt>
                <c:pt idx="88">
                  <c:v>210.88152283257793</c:v>
                </c:pt>
                <c:pt idx="89">
                  <c:v>217.78241599787933</c:v>
                </c:pt>
                <c:pt idx="90">
                  <c:v>224.90913419440795</c:v>
                </c:pt>
                <c:pt idx="91">
                  <c:v>232.26906732713792</c:v>
                </c:pt>
                <c:pt idx="92">
                  <c:v>239.86984712851162</c:v>
                </c:pt>
                <c:pt idx="93">
                  <c:v>247.71935507200857</c:v>
                </c:pt>
                <c:pt idx="94">
                  <c:v>255.82573054467852</c:v>
                </c:pt>
                <c:pt idx="95">
                  <c:v>264.19737928711299</c:v>
                </c:pt>
                <c:pt idx="96">
                  <c:v>272.84298210960611</c:v>
                </c:pt>
                <c:pt idx="97">
                  <c:v>281.77150389354387</c:v>
                </c:pt>
                <c:pt idx="98">
                  <c:v>290.99220288735478</c:v>
                </c:pt>
                <c:pt idx="99">
                  <c:v>300.51464030666159</c:v>
                </c:pt>
                <c:pt idx="100">
                  <c:v>310.34869024858892</c:v>
                </c:pt>
              </c:numCache>
            </c:numRef>
          </c:val>
          <c:smooth val="0"/>
          <c:extLst>
            <c:ext xmlns:c16="http://schemas.microsoft.com/office/drawing/2014/chart" uri="{C3380CC4-5D6E-409C-BE32-E72D297353CC}">
              <c16:uniqueId val="{00000001-BE95-4C24-BD46-1A54B23AC8D6}"/>
            </c:ext>
          </c:extLst>
        </c:ser>
        <c:dLbls>
          <c:showLegendKey val="0"/>
          <c:showVal val="0"/>
          <c:showCatName val="0"/>
          <c:showSerName val="0"/>
          <c:showPercent val="0"/>
          <c:showBubbleSize val="0"/>
        </c:dLbls>
        <c:smooth val="0"/>
        <c:axId val="153529280"/>
        <c:axId val="153531360"/>
      </c:lineChart>
      <c:catAx>
        <c:axId val="153529280"/>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 of Valve Open</a:t>
                </a:r>
              </a:p>
            </c:rich>
          </c:tx>
          <c:layout>
            <c:manualLayout>
              <c:xMode val="edge"/>
              <c:yMode val="edge"/>
              <c:x val="0.39797112860892386"/>
              <c:y val="0.88432852143482066"/>
            </c:manualLayout>
          </c:layout>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3531360"/>
        <c:crosses val="autoZero"/>
        <c:auto val="1"/>
        <c:lblAlgn val="ctr"/>
        <c:lblOffset val="100"/>
        <c:noMultiLvlLbl val="0"/>
      </c:catAx>
      <c:valAx>
        <c:axId val="153531360"/>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GPM</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352928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DDC to GPM</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spPr>
            <a:ln w="34925" cap="rnd">
              <a:solidFill>
                <a:schemeClr val="accent1"/>
              </a:solidFill>
              <a:round/>
            </a:ln>
            <a:effectLst>
              <a:outerShdw blurRad="57150" dist="19050" dir="5400000" algn="ctr" rotWithShape="0">
                <a:srgbClr val="000000">
                  <a:alpha val="63000"/>
                </a:srgbClr>
              </a:outerShdw>
            </a:effectLst>
          </c:spPr>
          <c:marker>
            <c:symbol val="none"/>
          </c:marker>
          <c:cat>
            <c:numRef>
              <c:f>'Flow Curves'!$O$10:$O$110</c:f>
              <c:numCache>
                <c:formatCode>0.00</c:formatCode>
                <c:ptCount val="101"/>
                <c:pt idx="0">
                  <c:v>2</c:v>
                </c:pt>
                <c:pt idx="1">
                  <c:v>2.08</c:v>
                </c:pt>
                <c:pt idx="2">
                  <c:v>2.16</c:v>
                </c:pt>
                <c:pt idx="3">
                  <c:v>2.2400000000000002</c:v>
                </c:pt>
                <c:pt idx="4">
                  <c:v>2.3200000000000003</c:v>
                </c:pt>
                <c:pt idx="5">
                  <c:v>2.4000000000000004</c:v>
                </c:pt>
                <c:pt idx="6">
                  <c:v>2.4800000000000004</c:v>
                </c:pt>
                <c:pt idx="7">
                  <c:v>2.5600000000000005</c:v>
                </c:pt>
                <c:pt idx="8">
                  <c:v>2.6400000000000006</c:v>
                </c:pt>
                <c:pt idx="9">
                  <c:v>2.7200000000000006</c:v>
                </c:pt>
                <c:pt idx="10">
                  <c:v>2.8000000000000007</c:v>
                </c:pt>
                <c:pt idx="11">
                  <c:v>2.8800000000000008</c:v>
                </c:pt>
                <c:pt idx="12">
                  <c:v>2.9600000000000009</c:v>
                </c:pt>
                <c:pt idx="13">
                  <c:v>3.0400000000000009</c:v>
                </c:pt>
                <c:pt idx="14">
                  <c:v>3.120000000000001</c:v>
                </c:pt>
                <c:pt idx="15">
                  <c:v>3.2000000000000011</c:v>
                </c:pt>
                <c:pt idx="16">
                  <c:v>3.2800000000000011</c:v>
                </c:pt>
                <c:pt idx="17">
                  <c:v>3.3600000000000012</c:v>
                </c:pt>
                <c:pt idx="18">
                  <c:v>3.4400000000000013</c:v>
                </c:pt>
                <c:pt idx="19">
                  <c:v>3.5200000000000014</c:v>
                </c:pt>
                <c:pt idx="20">
                  <c:v>3.6000000000000014</c:v>
                </c:pt>
                <c:pt idx="21">
                  <c:v>3.6800000000000015</c:v>
                </c:pt>
                <c:pt idx="22">
                  <c:v>3.7600000000000016</c:v>
                </c:pt>
                <c:pt idx="23">
                  <c:v>3.8400000000000016</c:v>
                </c:pt>
                <c:pt idx="24">
                  <c:v>3.9200000000000017</c:v>
                </c:pt>
                <c:pt idx="25">
                  <c:v>4.0000000000000018</c:v>
                </c:pt>
                <c:pt idx="26">
                  <c:v>4.0800000000000018</c:v>
                </c:pt>
                <c:pt idx="27">
                  <c:v>4.1600000000000019</c:v>
                </c:pt>
                <c:pt idx="28">
                  <c:v>4.240000000000002</c:v>
                </c:pt>
                <c:pt idx="29">
                  <c:v>4.3200000000000021</c:v>
                </c:pt>
                <c:pt idx="30">
                  <c:v>4.4000000000000021</c:v>
                </c:pt>
                <c:pt idx="31">
                  <c:v>4.4800000000000022</c:v>
                </c:pt>
                <c:pt idx="32">
                  <c:v>4.5600000000000023</c:v>
                </c:pt>
                <c:pt idx="33">
                  <c:v>4.6400000000000023</c:v>
                </c:pt>
                <c:pt idx="34">
                  <c:v>4.7200000000000024</c:v>
                </c:pt>
                <c:pt idx="35">
                  <c:v>4.8000000000000025</c:v>
                </c:pt>
                <c:pt idx="36">
                  <c:v>4.8800000000000026</c:v>
                </c:pt>
                <c:pt idx="37">
                  <c:v>4.9600000000000026</c:v>
                </c:pt>
                <c:pt idx="38">
                  <c:v>5.0400000000000027</c:v>
                </c:pt>
                <c:pt idx="39">
                  <c:v>5.1200000000000028</c:v>
                </c:pt>
                <c:pt idx="40">
                  <c:v>5.2000000000000028</c:v>
                </c:pt>
                <c:pt idx="41">
                  <c:v>5.2800000000000029</c:v>
                </c:pt>
                <c:pt idx="42">
                  <c:v>5.360000000000003</c:v>
                </c:pt>
                <c:pt idx="43">
                  <c:v>5.4400000000000031</c:v>
                </c:pt>
                <c:pt idx="44">
                  <c:v>5.5200000000000031</c:v>
                </c:pt>
                <c:pt idx="45">
                  <c:v>5.6000000000000032</c:v>
                </c:pt>
                <c:pt idx="46">
                  <c:v>5.6800000000000033</c:v>
                </c:pt>
                <c:pt idx="47">
                  <c:v>5.7600000000000033</c:v>
                </c:pt>
                <c:pt idx="48">
                  <c:v>5.8400000000000034</c:v>
                </c:pt>
                <c:pt idx="49">
                  <c:v>5.9200000000000035</c:v>
                </c:pt>
                <c:pt idx="50">
                  <c:v>6.0000000000000036</c:v>
                </c:pt>
                <c:pt idx="51">
                  <c:v>6.0800000000000036</c:v>
                </c:pt>
                <c:pt idx="52">
                  <c:v>6.1600000000000037</c:v>
                </c:pt>
                <c:pt idx="53">
                  <c:v>6.2400000000000038</c:v>
                </c:pt>
                <c:pt idx="54">
                  <c:v>6.3200000000000038</c:v>
                </c:pt>
                <c:pt idx="55">
                  <c:v>6.4000000000000039</c:v>
                </c:pt>
                <c:pt idx="56">
                  <c:v>6.480000000000004</c:v>
                </c:pt>
                <c:pt idx="57">
                  <c:v>6.5600000000000041</c:v>
                </c:pt>
                <c:pt idx="58">
                  <c:v>6.6400000000000041</c:v>
                </c:pt>
                <c:pt idx="59">
                  <c:v>6.7200000000000042</c:v>
                </c:pt>
                <c:pt idx="60">
                  <c:v>6.8000000000000043</c:v>
                </c:pt>
                <c:pt idx="61">
                  <c:v>6.8800000000000043</c:v>
                </c:pt>
                <c:pt idx="62">
                  <c:v>6.9600000000000044</c:v>
                </c:pt>
                <c:pt idx="63">
                  <c:v>7.0400000000000045</c:v>
                </c:pt>
                <c:pt idx="64">
                  <c:v>7.1200000000000045</c:v>
                </c:pt>
                <c:pt idx="65">
                  <c:v>7.2000000000000046</c:v>
                </c:pt>
                <c:pt idx="66">
                  <c:v>7.2800000000000047</c:v>
                </c:pt>
                <c:pt idx="67">
                  <c:v>7.3600000000000048</c:v>
                </c:pt>
                <c:pt idx="68">
                  <c:v>7.4400000000000048</c:v>
                </c:pt>
                <c:pt idx="69">
                  <c:v>7.5200000000000049</c:v>
                </c:pt>
                <c:pt idx="70">
                  <c:v>7.600000000000005</c:v>
                </c:pt>
                <c:pt idx="71">
                  <c:v>7.680000000000005</c:v>
                </c:pt>
                <c:pt idx="72">
                  <c:v>7.7600000000000051</c:v>
                </c:pt>
                <c:pt idx="73">
                  <c:v>7.8400000000000052</c:v>
                </c:pt>
                <c:pt idx="74">
                  <c:v>7.9200000000000053</c:v>
                </c:pt>
                <c:pt idx="75">
                  <c:v>8.0000000000000053</c:v>
                </c:pt>
                <c:pt idx="76">
                  <c:v>8.0800000000000054</c:v>
                </c:pt>
                <c:pt idx="77">
                  <c:v>8.1600000000000055</c:v>
                </c:pt>
                <c:pt idx="78">
                  <c:v>8.2400000000000055</c:v>
                </c:pt>
                <c:pt idx="79">
                  <c:v>8.3200000000000056</c:v>
                </c:pt>
                <c:pt idx="80">
                  <c:v>8.4000000000000057</c:v>
                </c:pt>
                <c:pt idx="81">
                  <c:v>8.4800000000000058</c:v>
                </c:pt>
                <c:pt idx="82">
                  <c:v>8.5600000000000058</c:v>
                </c:pt>
                <c:pt idx="83">
                  <c:v>8.6400000000000059</c:v>
                </c:pt>
                <c:pt idx="84">
                  <c:v>8.720000000000006</c:v>
                </c:pt>
                <c:pt idx="85">
                  <c:v>8.800000000000006</c:v>
                </c:pt>
                <c:pt idx="86">
                  <c:v>8.8800000000000061</c:v>
                </c:pt>
                <c:pt idx="87">
                  <c:v>8.9600000000000062</c:v>
                </c:pt>
                <c:pt idx="88">
                  <c:v>9.0400000000000063</c:v>
                </c:pt>
                <c:pt idx="89">
                  <c:v>9.1200000000000063</c:v>
                </c:pt>
                <c:pt idx="90">
                  <c:v>9.2000000000000064</c:v>
                </c:pt>
                <c:pt idx="91">
                  <c:v>9.2800000000000065</c:v>
                </c:pt>
                <c:pt idx="92">
                  <c:v>9.3600000000000065</c:v>
                </c:pt>
                <c:pt idx="93">
                  <c:v>9.4400000000000066</c:v>
                </c:pt>
                <c:pt idx="94">
                  <c:v>9.5200000000000067</c:v>
                </c:pt>
                <c:pt idx="95">
                  <c:v>9.6000000000000068</c:v>
                </c:pt>
                <c:pt idx="96">
                  <c:v>9.6800000000000068</c:v>
                </c:pt>
                <c:pt idx="97">
                  <c:v>9.7600000000000069</c:v>
                </c:pt>
                <c:pt idx="98">
                  <c:v>9.840000000000007</c:v>
                </c:pt>
                <c:pt idx="99">
                  <c:v>9.920000000000007</c:v>
                </c:pt>
                <c:pt idx="100">
                  <c:v>10</c:v>
                </c:pt>
              </c:numCache>
            </c:numRef>
          </c:cat>
          <c:val>
            <c:numRef>
              <c:f>'Flow Curves'!$P$10:$P$110</c:f>
              <c:numCache>
                <c:formatCode>#,##0.00</c:formatCode>
                <c:ptCount val="101"/>
                <c:pt idx="0">
                  <c:v>0</c:v>
                </c:pt>
                <c:pt idx="1">
                  <c:v>0</c:v>
                </c:pt>
                <c:pt idx="2">
                  <c:v>0</c:v>
                </c:pt>
                <c:pt idx="3">
                  <c:v>0</c:v>
                </c:pt>
                <c:pt idx="4">
                  <c:v>0</c:v>
                </c:pt>
                <c:pt idx="5">
                  <c:v>0</c:v>
                </c:pt>
                <c:pt idx="6">
                  <c:v>0</c:v>
                </c:pt>
                <c:pt idx="7">
                  <c:v>15.535014443921224</c:v>
                </c:pt>
                <c:pt idx="8">
                  <c:v>16.043382714213084</c:v>
                </c:pt>
                <c:pt idx="9">
                  <c:v>16.568386842757473</c:v>
                </c:pt>
                <c:pt idx="10">
                  <c:v>17.110571221869858</c:v>
                </c:pt>
                <c:pt idx="11">
                  <c:v>17.67049805857593</c:v>
                </c:pt>
                <c:pt idx="12">
                  <c:v>18.248747957580644</c:v>
                </c:pt>
                <c:pt idx="13">
                  <c:v>18.845920523314422</c:v>
                </c:pt>
                <c:pt idx="14">
                  <c:v>19.462634981680726</c:v>
                </c:pt>
                <c:pt idx="15">
                  <c:v>20.099530822149724</c:v>
                </c:pt>
                <c:pt idx="16">
                  <c:v>20.757268460863845</c:v>
                </c:pt>
                <c:pt idx="17">
                  <c:v>21.436529925442827</c:v>
                </c:pt>
                <c:pt idx="18">
                  <c:v>22.138019562198306</c:v>
                </c:pt>
                <c:pt idx="19">
                  <c:v>22.862464766491385</c:v>
                </c:pt>
                <c:pt idx="20">
                  <c:v>23.610616736990401</c:v>
                </c:pt>
                <c:pt idx="21">
                  <c:v>24.383251254611007</c:v>
                </c:pt>
                <c:pt idx="22">
                  <c:v>25.181169486946427</c:v>
                </c:pt>
                <c:pt idx="23">
                  <c:v>26.005198819021796</c:v>
                </c:pt>
                <c:pt idx="24">
                  <c:v>26.856193711234177</c:v>
                </c:pt>
                <c:pt idx="25">
                  <c:v>27.735036585367837</c:v>
                </c:pt>
                <c:pt idx="26">
                  <c:v>28.642638739603527</c:v>
                </c:pt>
                <c:pt idx="27">
                  <c:v>29.579941293470483</c:v>
                </c:pt>
                <c:pt idx="28">
                  <c:v>30.547916163721155</c:v>
                </c:pt>
                <c:pt idx="29">
                  <c:v>31.547567072140406</c:v>
                </c:pt>
                <c:pt idx="30">
                  <c:v>32.579930586334406</c:v>
                </c:pt>
                <c:pt idx="31">
                  <c:v>33.646077194578162</c:v>
                </c:pt>
                <c:pt idx="32">
                  <c:v>34.747112415836519</c:v>
                </c:pt>
                <c:pt idx="33">
                  <c:v>35.884177946109546</c:v>
                </c:pt>
                <c:pt idx="34">
                  <c:v>37.058452842290791</c:v>
                </c:pt>
                <c:pt idx="35">
                  <c:v>38.271154744766335</c:v>
                </c:pt>
                <c:pt idx="36">
                  <c:v>39.523541140022161</c:v>
                </c:pt>
                <c:pt idx="37">
                  <c:v>40.816910664569015</c:v>
                </c:pt>
                <c:pt idx="38">
                  <c:v>42.152604451537108</c:v>
                </c:pt>
                <c:pt idx="39">
                  <c:v>43.532007521336681</c:v>
                </c:pt>
                <c:pt idx="40">
                  <c:v>44.956550217826702</c:v>
                </c:pt>
                <c:pt idx="41">
                  <c:v>46.4277096914807</c:v>
                </c:pt>
                <c:pt idx="42">
                  <c:v>47.947011431087837</c:v>
                </c:pt>
                <c:pt idx="43">
                  <c:v>49.516030845577326</c:v>
                </c:pt>
                <c:pt idx="44">
                  <c:v>51.136394897606593</c:v>
                </c:pt>
                <c:pt idx="45">
                  <c:v>52.809783790607007</c:v>
                </c:pt>
                <c:pt idx="46">
                  <c:v>54.53793271103649</c:v>
                </c:pt>
                <c:pt idx="47">
                  <c:v>56.322633627645757</c:v>
                </c:pt>
                <c:pt idx="48">
                  <c:v>58.165737149623709</c:v>
                </c:pt>
                <c:pt idx="49">
                  <c:v>60.069154445548833</c:v>
                </c:pt>
                <c:pt idx="50">
                  <c:v>62.034859225136493</c:v>
                </c:pt>
                <c:pt idx="51">
                  <c:v>64.064889785836939</c:v>
                </c:pt>
                <c:pt idx="52">
                  <c:v>66.161351126406188</c:v>
                </c:pt>
                <c:pt idx="53">
                  <c:v>68.32641712964157</c:v>
                </c:pt>
                <c:pt idx="54">
                  <c:v>70.562332816545165</c:v>
                </c:pt>
                <c:pt idx="55">
                  <c:v>72.871416674252401</c:v>
                </c:pt>
                <c:pt idx="56">
                  <c:v>75.256063060139994</c:v>
                </c:pt>
                <c:pt idx="57">
                  <c:v>77.718744684606037</c:v>
                </c:pt>
                <c:pt idx="58">
                  <c:v>80.262015175096579</c:v>
                </c:pt>
                <c:pt idx="59">
                  <c:v>82.888511724037357</c:v>
                </c:pt>
                <c:pt idx="60">
                  <c:v>85.600957823416778</c:v>
                </c:pt>
                <c:pt idx="61">
                  <c:v>88.402166088855282</c:v>
                </c:pt>
                <c:pt idx="62">
                  <c:v>91.295041176089725</c:v>
                </c:pt>
                <c:pt idx="63">
                  <c:v>94.282582792896832</c:v>
                </c:pt>
                <c:pt idx="64">
                  <c:v>97.367888809579085</c:v>
                </c:pt>
                <c:pt idx="65">
                  <c:v>100.55415847123793</c:v>
                </c:pt>
                <c:pt idx="66">
                  <c:v>103.8446957151657</c:v>
                </c:pt>
                <c:pt idx="67">
                  <c:v>107.2429125967961</c:v>
                </c:pt>
                <c:pt idx="68">
                  <c:v>110.75233282776533</c:v>
                </c:pt>
                <c:pt idx="69">
                  <c:v>114.37659542975291</c:v>
                </c:pt>
                <c:pt idx="70">
                  <c:v>118.1194585078912</c:v>
                </c:pt>
                <c:pt idx="71">
                  <c:v>121.98480314765534</c:v>
                </c:pt>
                <c:pt idx="72">
                  <c:v>125.97663743927612</c:v>
                </c:pt>
                <c:pt idx="73">
                  <c:v>130.099100633847</c:v>
                </c:pt>
                <c:pt idx="74">
                  <c:v>134.35646743543612</c:v>
                </c:pt>
                <c:pt idx="75">
                  <c:v>138.75315243365355</c:v>
                </c:pt>
                <c:pt idx="76">
                  <c:v>143.29371468126979</c:v>
                </c:pt>
                <c:pt idx="77">
                  <c:v>147.98286242163249</c:v>
                </c:pt>
                <c:pt idx="78">
                  <c:v>152.8254579707833</c:v>
                </c:pt>
                <c:pt idx="79">
                  <c:v>157.82652275933722</c:v>
                </c:pt>
                <c:pt idx="80">
                  <c:v>162.99124253935275</c:v>
                </c:pt>
                <c:pt idx="81">
                  <c:v>168.32497276159131</c:v>
                </c:pt>
                <c:pt idx="82">
                  <c:v>173.83324412874285</c:v>
                </c:pt>
                <c:pt idx="83">
                  <c:v>179.52176833037521</c:v>
                </c:pt>
                <c:pt idx="84">
                  <c:v>185.39644396555383</c:v>
                </c:pt>
                <c:pt idx="85">
                  <c:v>191.46336265927371</c:v>
                </c:pt>
                <c:pt idx="86">
                  <c:v>197.72881537904559</c:v>
                </c:pt>
                <c:pt idx="87">
                  <c:v>204.1992989581864</c:v>
                </c:pt>
                <c:pt idx="88">
                  <c:v>210.88152283257793</c:v>
                </c:pt>
                <c:pt idx="89">
                  <c:v>217.78241599787933</c:v>
                </c:pt>
                <c:pt idx="90">
                  <c:v>224.90913419440795</c:v>
                </c:pt>
                <c:pt idx="91">
                  <c:v>232.26906732713792</c:v>
                </c:pt>
                <c:pt idx="92">
                  <c:v>239.86984712851162</c:v>
                </c:pt>
                <c:pt idx="93">
                  <c:v>247.71935507200857</c:v>
                </c:pt>
                <c:pt idx="94">
                  <c:v>255.82573054467852</c:v>
                </c:pt>
                <c:pt idx="95">
                  <c:v>264.19737928711299</c:v>
                </c:pt>
                <c:pt idx="96">
                  <c:v>272.84298210960611</c:v>
                </c:pt>
                <c:pt idx="97">
                  <c:v>281.77150389354387</c:v>
                </c:pt>
                <c:pt idx="98">
                  <c:v>290.99220288735478</c:v>
                </c:pt>
                <c:pt idx="99">
                  <c:v>300.51464030666159</c:v>
                </c:pt>
                <c:pt idx="100">
                  <c:v>310.34869024858892</c:v>
                </c:pt>
              </c:numCache>
            </c:numRef>
          </c:val>
          <c:smooth val="0"/>
          <c:extLst>
            <c:ext xmlns:c16="http://schemas.microsoft.com/office/drawing/2014/chart" uri="{C3380CC4-5D6E-409C-BE32-E72D297353CC}">
              <c16:uniqueId val="{00000000-2392-4BCB-BA56-C9FFD0122086}"/>
            </c:ext>
          </c:extLst>
        </c:ser>
        <c:dLbls>
          <c:showLegendKey val="0"/>
          <c:showVal val="0"/>
          <c:showCatName val="0"/>
          <c:showSerName val="0"/>
          <c:showPercent val="0"/>
          <c:showBubbleSize val="0"/>
        </c:dLbls>
        <c:smooth val="0"/>
        <c:axId val="1416041695"/>
        <c:axId val="1416040863"/>
      </c:lineChart>
      <c:catAx>
        <c:axId val="1416041695"/>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DDC Control Voltage</a:t>
                </a:r>
              </a:p>
            </c:rich>
          </c:tx>
          <c:layout>
            <c:manualLayout>
              <c:xMode val="edge"/>
              <c:yMode val="edge"/>
              <c:x val="0.36011679790026252"/>
              <c:y val="0.88432852143482066"/>
            </c:manualLayout>
          </c:layout>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16040863"/>
        <c:crosses val="autoZero"/>
        <c:auto val="1"/>
        <c:lblAlgn val="ctr"/>
        <c:lblOffset val="100"/>
        <c:noMultiLvlLbl val="0"/>
      </c:catAx>
      <c:valAx>
        <c:axId val="1416040863"/>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GPM</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16041695"/>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GPM to BTU Linear</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scatterChart>
        <c:scatterStyle val="lineMarker"/>
        <c:varyColors val="0"/>
        <c:ser>
          <c:idx val="0"/>
          <c:order val="0"/>
          <c:spPr>
            <a:ln w="95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cap="rnd">
                <a:solidFill>
                  <a:schemeClr val="accent1"/>
                </a:solidFill>
                <a:round/>
              </a:ln>
              <a:effectLst>
                <a:outerShdw blurRad="57150" dist="19050" dir="5400000" algn="ctr" rotWithShape="0">
                  <a:srgbClr val="000000">
                    <a:alpha val="63000"/>
                  </a:srgbClr>
                </a:outerShdw>
              </a:effectLst>
            </c:spPr>
          </c:marker>
          <c:xVal>
            <c:numRef>
              <c:f>'Flow Curves'!$P$10:$P$110</c:f>
              <c:numCache>
                <c:formatCode>#,##0.00</c:formatCode>
                <c:ptCount val="101"/>
                <c:pt idx="0">
                  <c:v>0</c:v>
                </c:pt>
                <c:pt idx="1">
                  <c:v>0</c:v>
                </c:pt>
                <c:pt idx="2">
                  <c:v>0</c:v>
                </c:pt>
                <c:pt idx="3">
                  <c:v>0</c:v>
                </c:pt>
                <c:pt idx="4">
                  <c:v>0</c:v>
                </c:pt>
                <c:pt idx="5">
                  <c:v>0</c:v>
                </c:pt>
                <c:pt idx="6">
                  <c:v>0</c:v>
                </c:pt>
                <c:pt idx="7">
                  <c:v>15.535014443921224</c:v>
                </c:pt>
                <c:pt idx="8">
                  <c:v>16.043382714213084</c:v>
                </c:pt>
                <c:pt idx="9">
                  <c:v>16.568386842757473</c:v>
                </c:pt>
                <c:pt idx="10">
                  <c:v>17.110571221869858</c:v>
                </c:pt>
                <c:pt idx="11">
                  <c:v>17.67049805857593</c:v>
                </c:pt>
                <c:pt idx="12">
                  <c:v>18.248747957580644</c:v>
                </c:pt>
                <c:pt idx="13">
                  <c:v>18.845920523314422</c:v>
                </c:pt>
                <c:pt idx="14">
                  <c:v>19.462634981680726</c:v>
                </c:pt>
                <c:pt idx="15">
                  <c:v>20.099530822149724</c:v>
                </c:pt>
                <c:pt idx="16">
                  <c:v>20.757268460863845</c:v>
                </c:pt>
                <c:pt idx="17">
                  <c:v>21.436529925442827</c:v>
                </c:pt>
                <c:pt idx="18">
                  <c:v>22.138019562198306</c:v>
                </c:pt>
                <c:pt idx="19">
                  <c:v>22.862464766491385</c:v>
                </c:pt>
                <c:pt idx="20">
                  <c:v>23.610616736990401</c:v>
                </c:pt>
                <c:pt idx="21">
                  <c:v>24.383251254611007</c:v>
                </c:pt>
                <c:pt idx="22">
                  <c:v>25.181169486946427</c:v>
                </c:pt>
                <c:pt idx="23">
                  <c:v>26.005198819021796</c:v>
                </c:pt>
                <c:pt idx="24">
                  <c:v>26.856193711234177</c:v>
                </c:pt>
                <c:pt idx="25">
                  <c:v>27.735036585367837</c:v>
                </c:pt>
                <c:pt idx="26">
                  <c:v>28.642638739603527</c:v>
                </c:pt>
                <c:pt idx="27">
                  <c:v>29.579941293470483</c:v>
                </c:pt>
                <c:pt idx="28">
                  <c:v>30.547916163721155</c:v>
                </c:pt>
                <c:pt idx="29">
                  <c:v>31.547567072140406</c:v>
                </c:pt>
                <c:pt idx="30">
                  <c:v>32.579930586334406</c:v>
                </c:pt>
                <c:pt idx="31">
                  <c:v>33.646077194578162</c:v>
                </c:pt>
                <c:pt idx="32">
                  <c:v>34.747112415836519</c:v>
                </c:pt>
                <c:pt idx="33">
                  <c:v>35.884177946109546</c:v>
                </c:pt>
                <c:pt idx="34">
                  <c:v>37.058452842290791</c:v>
                </c:pt>
                <c:pt idx="35">
                  <c:v>38.271154744766335</c:v>
                </c:pt>
                <c:pt idx="36">
                  <c:v>39.523541140022161</c:v>
                </c:pt>
                <c:pt idx="37">
                  <c:v>40.816910664569015</c:v>
                </c:pt>
                <c:pt idx="38">
                  <c:v>42.152604451537108</c:v>
                </c:pt>
                <c:pt idx="39">
                  <c:v>43.532007521336681</c:v>
                </c:pt>
                <c:pt idx="40">
                  <c:v>44.956550217826702</c:v>
                </c:pt>
                <c:pt idx="41">
                  <c:v>46.4277096914807</c:v>
                </c:pt>
                <c:pt idx="42">
                  <c:v>47.947011431087837</c:v>
                </c:pt>
                <c:pt idx="43">
                  <c:v>49.516030845577326</c:v>
                </c:pt>
                <c:pt idx="44">
                  <c:v>51.136394897606593</c:v>
                </c:pt>
                <c:pt idx="45">
                  <c:v>52.809783790607007</c:v>
                </c:pt>
                <c:pt idx="46">
                  <c:v>54.53793271103649</c:v>
                </c:pt>
                <c:pt idx="47">
                  <c:v>56.322633627645757</c:v>
                </c:pt>
                <c:pt idx="48">
                  <c:v>58.165737149623709</c:v>
                </c:pt>
                <c:pt idx="49">
                  <c:v>60.069154445548833</c:v>
                </c:pt>
                <c:pt idx="50">
                  <c:v>62.034859225136493</c:v>
                </c:pt>
                <c:pt idx="51">
                  <c:v>64.064889785836939</c:v>
                </c:pt>
                <c:pt idx="52">
                  <c:v>66.161351126406188</c:v>
                </c:pt>
                <c:pt idx="53">
                  <c:v>68.32641712964157</c:v>
                </c:pt>
                <c:pt idx="54">
                  <c:v>70.562332816545165</c:v>
                </c:pt>
                <c:pt idx="55">
                  <c:v>72.871416674252401</c:v>
                </c:pt>
                <c:pt idx="56">
                  <c:v>75.256063060139994</c:v>
                </c:pt>
                <c:pt idx="57">
                  <c:v>77.718744684606037</c:v>
                </c:pt>
                <c:pt idx="58">
                  <c:v>80.262015175096579</c:v>
                </c:pt>
                <c:pt idx="59">
                  <c:v>82.888511724037357</c:v>
                </c:pt>
                <c:pt idx="60">
                  <c:v>85.600957823416778</c:v>
                </c:pt>
                <c:pt idx="61">
                  <c:v>88.402166088855282</c:v>
                </c:pt>
                <c:pt idx="62">
                  <c:v>91.295041176089725</c:v>
                </c:pt>
                <c:pt idx="63">
                  <c:v>94.282582792896832</c:v>
                </c:pt>
                <c:pt idx="64">
                  <c:v>97.367888809579085</c:v>
                </c:pt>
                <c:pt idx="65">
                  <c:v>100.55415847123793</c:v>
                </c:pt>
                <c:pt idx="66">
                  <c:v>103.8446957151657</c:v>
                </c:pt>
                <c:pt idx="67">
                  <c:v>107.2429125967961</c:v>
                </c:pt>
                <c:pt idx="68">
                  <c:v>110.75233282776533</c:v>
                </c:pt>
                <c:pt idx="69">
                  <c:v>114.37659542975291</c:v>
                </c:pt>
                <c:pt idx="70">
                  <c:v>118.1194585078912</c:v>
                </c:pt>
                <c:pt idx="71">
                  <c:v>121.98480314765534</c:v>
                </c:pt>
                <c:pt idx="72">
                  <c:v>125.97663743927612</c:v>
                </c:pt>
                <c:pt idx="73">
                  <c:v>130.099100633847</c:v>
                </c:pt>
                <c:pt idx="74">
                  <c:v>134.35646743543612</c:v>
                </c:pt>
                <c:pt idx="75">
                  <c:v>138.75315243365355</c:v>
                </c:pt>
                <c:pt idx="76">
                  <c:v>143.29371468126979</c:v>
                </c:pt>
                <c:pt idx="77">
                  <c:v>147.98286242163249</c:v>
                </c:pt>
                <c:pt idx="78">
                  <c:v>152.8254579707833</c:v>
                </c:pt>
                <c:pt idx="79">
                  <c:v>157.82652275933722</c:v>
                </c:pt>
                <c:pt idx="80">
                  <c:v>162.99124253935275</c:v>
                </c:pt>
                <c:pt idx="81">
                  <c:v>168.32497276159131</c:v>
                </c:pt>
                <c:pt idx="82">
                  <c:v>173.83324412874285</c:v>
                </c:pt>
                <c:pt idx="83">
                  <c:v>179.52176833037521</c:v>
                </c:pt>
                <c:pt idx="84">
                  <c:v>185.39644396555383</c:v>
                </c:pt>
                <c:pt idx="85">
                  <c:v>191.46336265927371</c:v>
                </c:pt>
                <c:pt idx="86">
                  <c:v>197.72881537904559</c:v>
                </c:pt>
                <c:pt idx="87">
                  <c:v>204.1992989581864</c:v>
                </c:pt>
                <c:pt idx="88">
                  <c:v>210.88152283257793</c:v>
                </c:pt>
                <c:pt idx="89">
                  <c:v>217.78241599787933</c:v>
                </c:pt>
                <c:pt idx="90">
                  <c:v>224.90913419440795</c:v>
                </c:pt>
                <c:pt idx="91">
                  <c:v>232.26906732713792</c:v>
                </c:pt>
                <c:pt idx="92">
                  <c:v>239.86984712851162</c:v>
                </c:pt>
                <c:pt idx="93">
                  <c:v>247.71935507200857</c:v>
                </c:pt>
                <c:pt idx="94">
                  <c:v>255.82573054467852</c:v>
                </c:pt>
                <c:pt idx="95">
                  <c:v>264.19737928711299</c:v>
                </c:pt>
                <c:pt idx="96">
                  <c:v>272.84298210960611</c:v>
                </c:pt>
                <c:pt idx="97">
                  <c:v>281.77150389354387</c:v>
                </c:pt>
                <c:pt idx="98">
                  <c:v>290.99220288735478</c:v>
                </c:pt>
                <c:pt idx="99">
                  <c:v>300.51464030666159</c:v>
                </c:pt>
                <c:pt idx="100">
                  <c:v>310.34869024858892</c:v>
                </c:pt>
              </c:numCache>
            </c:numRef>
          </c:xVal>
          <c:yVal>
            <c:numRef>
              <c:f>'Flow Curves'!$Q$10:$Q$110</c:f>
              <c:numCache>
                <c:formatCode>#,##0</c:formatCode>
                <c:ptCount val="101"/>
                <c:pt idx="0">
                  <c:v>0</c:v>
                </c:pt>
                <c:pt idx="1">
                  <c:v>0</c:v>
                </c:pt>
                <c:pt idx="2">
                  <c:v>0</c:v>
                </c:pt>
                <c:pt idx="3">
                  <c:v>0</c:v>
                </c:pt>
                <c:pt idx="4">
                  <c:v>0</c:v>
                </c:pt>
                <c:pt idx="5">
                  <c:v>0</c:v>
                </c:pt>
                <c:pt idx="6">
                  <c:v>0</c:v>
                </c:pt>
                <c:pt idx="7">
                  <c:v>93210.086663527341</c:v>
                </c:pt>
                <c:pt idx="8">
                  <c:v>96260.296285278513</c:v>
                </c:pt>
                <c:pt idx="9">
                  <c:v>99410.321056544824</c:v>
                </c:pt>
                <c:pt idx="10">
                  <c:v>102663.42733121914</c:v>
                </c:pt>
                <c:pt idx="11">
                  <c:v>106022.98835145558</c:v>
                </c:pt>
                <c:pt idx="12">
                  <c:v>109492.48774548386</c:v>
                </c:pt>
                <c:pt idx="13">
                  <c:v>113075.52313988654</c:v>
                </c:pt>
                <c:pt idx="14">
                  <c:v>116775.80989008436</c:v>
                </c:pt>
                <c:pt idx="15">
                  <c:v>120597.18493289834</c:v>
                </c:pt>
                <c:pt idx="16">
                  <c:v>124543.61076518308</c:v>
                </c:pt>
                <c:pt idx="17">
                  <c:v>128619.17955265696</c:v>
                </c:pt>
                <c:pt idx="18">
                  <c:v>132828.11737318983</c:v>
                </c:pt>
                <c:pt idx="19">
                  <c:v>137174.7885989483</c:v>
                </c:pt>
                <c:pt idx="20">
                  <c:v>141663.7004219424</c:v>
                </c:pt>
                <c:pt idx="21">
                  <c:v>146299.50752766605</c:v>
                </c:pt>
                <c:pt idx="22">
                  <c:v>151087.01692167856</c:v>
                </c:pt>
                <c:pt idx="23">
                  <c:v>156031.19291413078</c:v>
                </c:pt>
                <c:pt idx="24">
                  <c:v>161137.16226740507</c:v>
                </c:pt>
                <c:pt idx="25">
                  <c:v>166410.21951220703</c:v>
                </c:pt>
                <c:pt idx="26">
                  <c:v>171855.83243762117</c:v>
                </c:pt>
                <c:pt idx="27">
                  <c:v>177479.6477608229</c:v>
                </c:pt>
                <c:pt idx="28">
                  <c:v>183287.49698232693</c:v>
                </c:pt>
                <c:pt idx="29">
                  <c:v>189285.40243284244</c:v>
                </c:pt>
                <c:pt idx="30">
                  <c:v>195479.58351800646</c:v>
                </c:pt>
                <c:pt idx="31">
                  <c:v>201876.46316746896</c:v>
                </c:pt>
                <c:pt idx="32">
                  <c:v>208482.67449501914</c:v>
                </c:pt>
                <c:pt idx="33">
                  <c:v>215305.06767665729</c:v>
                </c:pt>
                <c:pt idx="34">
                  <c:v>222350.71705374474</c:v>
                </c:pt>
                <c:pt idx="35">
                  <c:v>229626.92846859802</c:v>
                </c:pt>
                <c:pt idx="36">
                  <c:v>237141.24684013295</c:v>
                </c:pt>
                <c:pt idx="37">
                  <c:v>244901.46398741411</c:v>
                </c:pt>
                <c:pt idx="38">
                  <c:v>252915.62670922265</c:v>
                </c:pt>
                <c:pt idx="39">
                  <c:v>261192.04512802008</c:v>
                </c:pt>
                <c:pt idx="40">
                  <c:v>269739.30130696023</c:v>
                </c:pt>
                <c:pt idx="41">
                  <c:v>278566.25814888423</c:v>
                </c:pt>
                <c:pt idx="42">
                  <c:v>287682.06858652702</c:v>
                </c:pt>
                <c:pt idx="43">
                  <c:v>297096.18507346394</c:v>
                </c:pt>
                <c:pt idx="44">
                  <c:v>306818.36938563961</c:v>
                </c:pt>
                <c:pt idx="45">
                  <c:v>316858.70274364203</c:v>
                </c:pt>
                <c:pt idx="46">
                  <c:v>327227.59626621893</c:v>
                </c:pt>
                <c:pt idx="47">
                  <c:v>337935.80176587455</c:v>
                </c:pt>
                <c:pt idx="48">
                  <c:v>348994.42289774225</c:v>
                </c:pt>
                <c:pt idx="49">
                  <c:v>360414.926673293</c:v>
                </c:pt>
                <c:pt idx="50">
                  <c:v>372209.15535081894</c:v>
                </c:pt>
                <c:pt idx="51">
                  <c:v>384389.33871502161</c:v>
                </c:pt>
                <c:pt idx="52">
                  <c:v>396968.10675843712</c:v>
                </c:pt>
                <c:pt idx="53">
                  <c:v>409958.50277784938</c:v>
                </c:pt>
                <c:pt idx="54">
                  <c:v>423373.99689927098</c:v>
                </c:pt>
                <c:pt idx="55">
                  <c:v>437228.50004551443</c:v>
                </c:pt>
                <c:pt idx="56">
                  <c:v>451536.37836083997</c:v>
                </c:pt>
                <c:pt idx="57">
                  <c:v>466312.4681076362</c:v>
                </c:pt>
                <c:pt idx="58">
                  <c:v>481572.0910505795</c:v>
                </c:pt>
                <c:pt idx="59">
                  <c:v>497331.07034422416</c:v>
                </c:pt>
                <c:pt idx="60">
                  <c:v>513605.74694050069</c:v>
                </c:pt>
                <c:pt idx="61">
                  <c:v>530412.99653313169</c:v>
                </c:pt>
                <c:pt idx="62">
                  <c:v>547770.24705653836</c:v>
                </c:pt>
                <c:pt idx="63">
                  <c:v>565695.49675738101</c:v>
                </c:pt>
                <c:pt idx="64">
                  <c:v>584207.33285747457</c:v>
                </c:pt>
                <c:pt idx="65">
                  <c:v>603324.95082742756</c:v>
                </c:pt>
                <c:pt idx="66">
                  <c:v>623068.17429099418</c:v>
                </c:pt>
                <c:pt idx="67">
                  <c:v>643457.47558077669</c:v>
                </c:pt>
                <c:pt idx="68">
                  <c:v>664513.99696659204</c:v>
                </c:pt>
                <c:pt idx="69">
                  <c:v>686259.57257851749</c:v>
                </c:pt>
                <c:pt idx="70">
                  <c:v>708716.75104734721</c:v>
                </c:pt>
                <c:pt idx="71">
                  <c:v>731908.81888593209</c:v>
                </c:pt>
                <c:pt idx="72">
                  <c:v>755859.82463565667</c:v>
                </c:pt>
                <c:pt idx="73">
                  <c:v>780594.60380308202</c:v>
                </c:pt>
                <c:pt idx="74">
                  <c:v>806138.80461261666</c:v>
                </c:pt>
                <c:pt idx="75">
                  <c:v>832518.91460192134</c:v>
                </c:pt>
                <c:pt idx="76">
                  <c:v>859762.28808761877</c:v>
                </c:pt>
                <c:pt idx="77">
                  <c:v>887897.17452979495</c:v>
                </c:pt>
                <c:pt idx="78">
                  <c:v>916952.74782469985</c:v>
                </c:pt>
                <c:pt idx="79">
                  <c:v>946959.13655602338</c:v>
                </c:pt>
                <c:pt idx="80">
                  <c:v>977947.45523611654</c:v>
                </c:pt>
                <c:pt idx="81">
                  <c:v>1009949.8365695479</c:v>
                </c:pt>
                <c:pt idx="82">
                  <c:v>1042999.464772457</c:v>
                </c:pt>
                <c:pt idx="83">
                  <c:v>1077130.6099822514</c:v>
                </c:pt>
                <c:pt idx="84">
                  <c:v>1112378.6637933231</c:v>
                </c:pt>
                <c:pt idx="85">
                  <c:v>1148780.1759556422</c:v>
                </c:pt>
                <c:pt idx="86">
                  <c:v>1186372.8922742736</c:v>
                </c:pt>
                <c:pt idx="87">
                  <c:v>1225195.7937491185</c:v>
                </c:pt>
                <c:pt idx="88">
                  <c:v>1265289.1369954676</c:v>
                </c:pt>
                <c:pt idx="89">
                  <c:v>1306694.4959872761</c:v>
                </c:pt>
                <c:pt idx="90">
                  <c:v>1349454.8051664478</c:v>
                </c:pt>
                <c:pt idx="91">
                  <c:v>1393614.4039628275</c:v>
                </c:pt>
                <c:pt idx="92">
                  <c:v>1439219.0827710696</c:v>
                </c:pt>
                <c:pt idx="93">
                  <c:v>1486316.1304320516</c:v>
                </c:pt>
                <c:pt idx="94">
                  <c:v>1534954.3832680711</c:v>
                </c:pt>
                <c:pt idx="95">
                  <c:v>1585184.2757226781</c:v>
                </c:pt>
                <c:pt idx="96">
                  <c:v>1637057.8926576369</c:v>
                </c:pt>
                <c:pt idx="97">
                  <c:v>1690629.0233612631</c:v>
                </c:pt>
                <c:pt idx="98">
                  <c:v>1745953.2173241286</c:v>
                </c:pt>
                <c:pt idx="99">
                  <c:v>1803087.8418399696</c:v>
                </c:pt>
                <c:pt idx="100">
                  <c:v>1862092.1414915335</c:v>
                </c:pt>
              </c:numCache>
            </c:numRef>
          </c:yVal>
          <c:smooth val="0"/>
          <c:extLst>
            <c:ext xmlns:c16="http://schemas.microsoft.com/office/drawing/2014/chart" uri="{C3380CC4-5D6E-409C-BE32-E72D297353CC}">
              <c16:uniqueId val="{00000000-F289-4066-A9EB-D0481A74D758}"/>
            </c:ext>
          </c:extLst>
        </c:ser>
        <c:dLbls>
          <c:showLegendKey val="0"/>
          <c:showVal val="0"/>
          <c:showCatName val="0"/>
          <c:showSerName val="0"/>
          <c:showPercent val="0"/>
          <c:showBubbleSize val="0"/>
        </c:dLbls>
        <c:axId val="68722128"/>
        <c:axId val="68714640"/>
      </c:scatterChart>
      <c:valAx>
        <c:axId val="68722128"/>
        <c:scaling>
          <c:orientation val="minMax"/>
        </c:scaling>
        <c:delete val="0"/>
        <c:axPos val="b"/>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68714640"/>
        <c:crosses val="autoZero"/>
        <c:crossBetween val="midCat"/>
      </c:valAx>
      <c:valAx>
        <c:axId val="68714640"/>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w="9525" cap="flat" cmpd="sng" algn="ctr">
            <a:solidFill>
              <a:schemeClr val="lt1">
                <a:lumMod val="50000"/>
              </a:schemeClr>
            </a:solid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68722128"/>
        <c:crosses val="autoZero"/>
        <c:crossBetween val="midCat"/>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713193350831146"/>
          <c:y val="7.4534161490683232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5388735619800939"/>
          <c:y val="7.0473609277761112E-2"/>
          <c:w val="0.84596062992125987"/>
          <c:h val="0.72088764946048411"/>
        </c:manualLayout>
      </c:layout>
      <c:bar3DChart>
        <c:barDir val="col"/>
        <c:grouping val="clustered"/>
        <c:varyColors val="0"/>
        <c:ser>
          <c:idx val="0"/>
          <c:order val="0"/>
          <c:tx>
            <c:strRef>
              <c:f>Results!$E$19</c:f>
              <c:strCache>
                <c:ptCount val="1"/>
                <c:pt idx="0">
                  <c:v>Pumping Cost</c:v>
                </c:pt>
              </c:strCache>
            </c:strRef>
          </c:tx>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numRef>
              <c:f>Results!$B$20:$B$25</c:f>
              <c:numCache>
                <c:formatCode>0</c:formatCode>
                <c:ptCount val="6"/>
                <c:pt idx="0">
                  <c:v>4</c:v>
                </c:pt>
                <c:pt idx="1">
                  <c:v>6</c:v>
                </c:pt>
                <c:pt idx="2">
                  <c:v>8</c:v>
                </c:pt>
                <c:pt idx="3">
                  <c:v>10</c:v>
                </c:pt>
                <c:pt idx="4">
                  <c:v>12</c:v>
                </c:pt>
                <c:pt idx="5">
                  <c:v>14</c:v>
                </c:pt>
              </c:numCache>
            </c:numRef>
          </c:cat>
          <c:val>
            <c:numRef>
              <c:f>Results!$E$20:$E$25</c:f>
              <c:numCache>
                <c:formatCode>"$"#,##0</c:formatCode>
                <c:ptCount val="6"/>
                <c:pt idx="0">
                  <c:v>2686.9063904231421</c:v>
                </c:pt>
                <c:pt idx="1">
                  <c:v>2359.1038107915188</c:v>
                </c:pt>
                <c:pt idx="2">
                  <c:v>1796.1969219978707</c:v>
                </c:pt>
                <c:pt idx="3">
                  <c:v>1170.0295091480994</c:v>
                </c:pt>
                <c:pt idx="4">
                  <c:v>677.10041038663189</c:v>
                </c:pt>
                <c:pt idx="5">
                  <c:v>426.39559371286435</c:v>
                </c:pt>
              </c:numCache>
            </c:numRef>
          </c:val>
          <c:extLst>
            <c:ext xmlns:c16="http://schemas.microsoft.com/office/drawing/2014/chart" uri="{C3380CC4-5D6E-409C-BE32-E72D297353CC}">
              <c16:uniqueId val="{00000000-2454-420E-BF50-0EDAB20654A6}"/>
            </c:ext>
          </c:extLst>
        </c:ser>
        <c:dLbls>
          <c:showLegendKey val="0"/>
          <c:showVal val="1"/>
          <c:showCatName val="0"/>
          <c:showSerName val="0"/>
          <c:showPercent val="0"/>
          <c:showBubbleSize val="0"/>
        </c:dLbls>
        <c:gapWidth val="65"/>
        <c:shape val="box"/>
        <c:axId val="23423376"/>
        <c:axId val="23423792"/>
        <c:axId val="0"/>
      </c:bar3DChart>
      <c:catAx>
        <c:axId val="23423376"/>
        <c:scaling>
          <c:orientation val="minMax"/>
        </c:scaling>
        <c:delete val="0"/>
        <c:axPos val="b"/>
        <c:title>
          <c:tx>
            <c:rich>
              <a:bodyPr rot="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r>
                  <a:rPr lang="en-US"/>
                  <a:t>Delta-T [°F]</a:t>
                </a:r>
              </a:p>
            </c:rich>
          </c:tx>
          <c:layout>
            <c:manualLayout>
              <c:xMode val="edge"/>
              <c:yMode val="edge"/>
              <c:x val="0.41558398950131231"/>
              <c:y val="0.90557604212516918"/>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endParaRPr lang="en-US"/>
            </a:p>
          </c:txPr>
        </c:title>
        <c:numFmt formatCode="0"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23423792"/>
        <c:crosses val="autoZero"/>
        <c:auto val="1"/>
        <c:lblAlgn val="ctr"/>
        <c:lblOffset val="100"/>
        <c:noMultiLvlLbl val="0"/>
      </c:catAx>
      <c:valAx>
        <c:axId val="23423792"/>
        <c:scaling>
          <c:orientation val="minMax"/>
        </c:scaling>
        <c:delete val="0"/>
        <c:axPos val="l"/>
        <c:majorGridlines>
          <c:spPr>
            <a:ln w="9525" cap="flat" cmpd="sng" algn="ctr">
              <a:solidFill>
                <a:schemeClr val="dk1">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r>
                  <a:rPr lang="en-US"/>
                  <a:t>Pumping Costs </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endParaRPr lang="en-US"/>
            </a:p>
          </c:txPr>
        </c:title>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23423376"/>
        <c:crosses val="autoZero"/>
        <c:crossBetween val="between"/>
      </c:valAx>
      <c:spPr>
        <a:noFill/>
        <a:ln>
          <a:noFill/>
        </a:ln>
        <a:effectLst/>
      </c:spPr>
    </c:plotArea>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48">
  <cs:axisTitle>
    <cs:lnRef idx="0"/>
    <cs:fillRef idx="0"/>
    <cs:effectRef idx="0"/>
    <cs:fontRef idx="minor">
      <a:schemeClr val="lt1">
        <a:lumMod val="75000"/>
      </a:schemeClr>
    </cs:fontRef>
    <cs:defRPr sz="900" b="1" kern="1200" cap="all"/>
  </cs:axisTitle>
  <cs:categoryAxis>
    <cs:lnRef idx="0"/>
    <cs:fillRef idx="0"/>
    <cs:effectRef idx="0"/>
    <cs:fontRef idx="minor">
      <a:schemeClr val="lt1">
        <a:lumMod val="75000"/>
      </a:schemeClr>
    </cs:fontRef>
    <cs:spPr>
      <a:ln w="9525" cap="flat" cmpd="sng" algn="ctr">
        <a:solidFill>
          <a:schemeClr val="lt1">
            <a:lumMod val="50000"/>
          </a:schemeClr>
        </a:solidFill>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spPr>
      <a:ln w="9525" cap="flat" cmpd="sng" algn="ctr">
        <a:solidFill>
          <a:schemeClr val="lt1">
            <a:lumMod val="50000"/>
          </a:schemeClr>
        </a:solidFill>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75000"/>
      </a:schemeClr>
    </cs:fontRef>
    <cs:spPr>
      <a:ln w="9525" cap="flat" cmpd="sng" algn="ctr">
        <a:solidFill>
          <a:schemeClr val="lt1">
            <a:lumMod val="50000"/>
          </a:schemeClr>
        </a:solidFill>
      </a:ln>
    </cs:spPr>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Spin" dx="26" inc="2" max="14" min="4" page="10" val="14"/>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hyperlink" Target="https://ecv.microsoft.com/vrNtkzFNqS" TargetMode="External"/><Relationship Id="rId5" Type="http://schemas.openxmlformats.org/officeDocument/2006/relationships/image" Target="../media/image4.png"/><Relationship Id="rId4" Type="http://schemas.microsoft.com/office/2007/relationships/hdphoto" Target="../media/hdphoto1.wdp"/></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5.png"/><Relationship Id="rId6" Type="http://schemas.openxmlformats.org/officeDocument/2006/relationships/hyperlink" Target="https://www.belimo.com/us/en_US/products/valves/product-documentation/energy-valve#product-range" TargetMode="External"/><Relationship Id="rId5" Type="http://schemas.openxmlformats.org/officeDocument/2006/relationships/image" Target="../media/image6.png"/><Relationship Id="rId4" Type="http://schemas.microsoft.com/office/2007/relationships/hdphoto" Target="../media/hdphoto1.wdp"/></Relationships>
</file>

<file path=xl/drawings/_rels/drawing3.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3.png"/><Relationship Id="rId1" Type="http://schemas.openxmlformats.org/officeDocument/2006/relationships/image" Target="../media/image2.png"/><Relationship Id="rId4"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editAs="oneCell">
    <xdr:from>
      <xdr:col>8</xdr:col>
      <xdr:colOff>28575</xdr:colOff>
      <xdr:row>46</xdr:row>
      <xdr:rowOff>76200</xdr:rowOff>
    </xdr:from>
    <xdr:to>
      <xdr:col>10</xdr:col>
      <xdr:colOff>605789</xdr:colOff>
      <xdr:row>56</xdr:row>
      <xdr:rowOff>4503</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96100" y="8429625"/>
          <a:ext cx="2219325" cy="1776153"/>
        </a:xfrm>
        <a:prstGeom prst="rect">
          <a:avLst/>
        </a:prstGeom>
        <a:ln w="25400">
          <a:solidFill>
            <a:schemeClr val="accent3"/>
          </a:solidFill>
        </a:ln>
      </xdr:spPr>
    </xdr:pic>
    <xdr:clientData/>
  </xdr:twoCellAnchor>
  <xdr:twoCellAnchor>
    <xdr:from>
      <xdr:col>0</xdr:col>
      <xdr:colOff>400050</xdr:colOff>
      <xdr:row>7</xdr:row>
      <xdr:rowOff>110490</xdr:rowOff>
    </xdr:from>
    <xdr:to>
      <xdr:col>7</xdr:col>
      <xdr:colOff>285750</xdr:colOff>
      <xdr:row>8</xdr:row>
      <xdr:rowOff>160020</xdr:rowOff>
    </xdr:to>
    <xdr:sp macro="" textlink="">
      <xdr:nvSpPr>
        <xdr:cNvPr id="9" name="HdrCoilDesignInput">
          <a:extLst>
            <a:ext uri="{FF2B5EF4-FFF2-40B4-BE49-F238E27FC236}">
              <a16:creationId xmlns:a16="http://schemas.microsoft.com/office/drawing/2014/main" id="{00000000-0008-0000-0000-000009000000}"/>
            </a:ext>
          </a:extLst>
        </xdr:cNvPr>
        <xdr:cNvSpPr/>
      </xdr:nvSpPr>
      <xdr:spPr>
        <a:xfrm>
          <a:off x="400050" y="1072515"/>
          <a:ext cx="6276975" cy="316230"/>
        </a:xfrm>
        <a:prstGeom prst="roundRect">
          <a:avLst/>
        </a:prstGeom>
        <a:gradFill flip="none" rotWithShape="1">
          <a:gsLst>
            <a:gs pos="0">
              <a:srgbClr val="FF6600"/>
            </a:gs>
            <a:gs pos="70000">
              <a:srgbClr val="FF6600"/>
            </a:gs>
            <a:gs pos="100000">
              <a:srgbClr val="FF6600"/>
            </a:gs>
          </a:gsLst>
          <a:lin ang="18900000" scaled="1"/>
          <a:tileRect/>
        </a:gradFill>
        <a:ln/>
        <a:scene3d>
          <a:camera prst="orthographicFront"/>
          <a:lightRig rig="threePt" dir="t"/>
        </a:scene3d>
        <a:sp3d>
          <a:bevel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Coil Design Input Data</a:t>
          </a:r>
        </a:p>
      </xdr:txBody>
    </xdr:sp>
    <xdr:clientData/>
  </xdr:twoCellAnchor>
  <xdr:twoCellAnchor>
    <xdr:from>
      <xdr:col>0</xdr:col>
      <xdr:colOff>400050</xdr:colOff>
      <xdr:row>21</xdr:row>
      <xdr:rowOff>57150</xdr:rowOff>
    </xdr:from>
    <xdr:to>
      <xdr:col>7</xdr:col>
      <xdr:colOff>285750</xdr:colOff>
      <xdr:row>22</xdr:row>
      <xdr:rowOff>168468</xdr:rowOff>
    </xdr:to>
    <xdr:sp macro="" textlink="">
      <xdr:nvSpPr>
        <xdr:cNvPr id="11" name="HdrOperatingTimeInput">
          <a:extLst>
            <a:ext uri="{FF2B5EF4-FFF2-40B4-BE49-F238E27FC236}">
              <a16:creationId xmlns:a16="http://schemas.microsoft.com/office/drawing/2014/main" id="{00000000-0008-0000-0000-00000B000000}"/>
            </a:ext>
          </a:extLst>
        </xdr:cNvPr>
        <xdr:cNvSpPr/>
      </xdr:nvSpPr>
      <xdr:spPr>
        <a:xfrm>
          <a:off x="400050" y="3838575"/>
          <a:ext cx="6276975" cy="292293"/>
        </a:xfrm>
        <a:prstGeom prst="roundRect">
          <a:avLst/>
        </a:prstGeom>
        <a:gradFill flip="none" rotWithShape="1">
          <a:gsLst>
            <a:gs pos="0">
              <a:srgbClr val="FF6600"/>
            </a:gs>
            <a:gs pos="70000">
              <a:srgbClr val="FF6600"/>
            </a:gs>
            <a:gs pos="100000">
              <a:srgbClr val="FF6600"/>
            </a:gs>
          </a:gsLst>
          <a:lin ang="18900000" scaled="1"/>
          <a:tileRect/>
        </a:gradFill>
        <a:ln/>
        <a:scene3d>
          <a:camera prst="orthographicFront"/>
          <a:lightRig rig="threePt" dir="t"/>
        </a:scene3d>
        <a:sp3d>
          <a:bevel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Operating Time Input Data</a:t>
          </a:r>
        </a:p>
      </xdr:txBody>
    </xdr:sp>
    <xdr:clientData/>
  </xdr:twoCellAnchor>
  <xdr:twoCellAnchor>
    <xdr:from>
      <xdr:col>0</xdr:col>
      <xdr:colOff>400050</xdr:colOff>
      <xdr:row>37</xdr:row>
      <xdr:rowOff>160020</xdr:rowOff>
    </xdr:from>
    <xdr:to>
      <xdr:col>7</xdr:col>
      <xdr:colOff>283845</xdr:colOff>
      <xdr:row>39</xdr:row>
      <xdr:rowOff>99888</xdr:rowOff>
    </xdr:to>
    <xdr:sp macro="" textlink="">
      <xdr:nvSpPr>
        <xdr:cNvPr id="12" name="HdrClimateRegionInput">
          <a:extLst>
            <a:ext uri="{FF2B5EF4-FFF2-40B4-BE49-F238E27FC236}">
              <a16:creationId xmlns:a16="http://schemas.microsoft.com/office/drawing/2014/main" id="{00000000-0008-0000-0000-00000C000000}"/>
            </a:ext>
          </a:extLst>
        </xdr:cNvPr>
        <xdr:cNvSpPr/>
      </xdr:nvSpPr>
      <xdr:spPr>
        <a:xfrm>
          <a:off x="400050" y="6875145"/>
          <a:ext cx="6275070" cy="311343"/>
        </a:xfrm>
        <a:prstGeom prst="roundRect">
          <a:avLst/>
        </a:prstGeom>
        <a:gradFill flip="none" rotWithShape="1">
          <a:gsLst>
            <a:gs pos="0">
              <a:srgbClr val="FF6600"/>
            </a:gs>
            <a:gs pos="70000">
              <a:srgbClr val="FF6600"/>
            </a:gs>
            <a:gs pos="100000">
              <a:srgbClr val="FF6600"/>
            </a:gs>
          </a:gsLst>
          <a:lin ang="18900000" scaled="1"/>
          <a:tileRect/>
        </a:gradFill>
        <a:ln/>
        <a:scene3d>
          <a:camera prst="orthographicFront"/>
          <a:lightRig rig="threePt" dir="t"/>
        </a:scene3d>
        <a:sp3d>
          <a:bevel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Climate Region Degree Day Input Data</a:t>
          </a:r>
        </a:p>
      </xdr:txBody>
    </xdr:sp>
    <xdr:clientData/>
  </xdr:twoCellAnchor>
  <xdr:twoCellAnchor>
    <xdr:from>
      <xdr:col>0</xdr:col>
      <xdr:colOff>415291</xdr:colOff>
      <xdr:row>0</xdr:row>
      <xdr:rowOff>41778</xdr:rowOff>
    </xdr:from>
    <xdr:to>
      <xdr:col>10</xdr:col>
      <xdr:colOff>581024</xdr:colOff>
      <xdr:row>3</xdr:row>
      <xdr:rowOff>7912</xdr:rowOff>
    </xdr:to>
    <xdr:grpSp>
      <xdr:nvGrpSpPr>
        <xdr:cNvPr id="3" name="BannerGroup">
          <a:extLst>
            <a:ext uri="{FF2B5EF4-FFF2-40B4-BE49-F238E27FC236}">
              <a16:creationId xmlns:a16="http://schemas.microsoft.com/office/drawing/2014/main" id="{00000000-0008-0000-0000-000003000000}"/>
            </a:ext>
          </a:extLst>
        </xdr:cNvPr>
        <xdr:cNvGrpSpPr/>
      </xdr:nvGrpSpPr>
      <xdr:grpSpPr>
        <a:xfrm>
          <a:off x="415291" y="41778"/>
          <a:ext cx="9343600" cy="914401"/>
          <a:chOff x="5640" y="22816"/>
          <a:chExt cx="6191250" cy="478463"/>
        </a:xfrm>
      </xdr:grpSpPr>
      <xdr:sp macro="" textlink="">
        <xdr:nvSpPr>
          <xdr:cNvPr id="4" name="Rectangle: Rounded Corners 23">
            <a:extLst>
              <a:ext uri="{FF2B5EF4-FFF2-40B4-BE49-F238E27FC236}">
                <a16:creationId xmlns:a16="http://schemas.microsoft.com/office/drawing/2014/main" id="{00000000-0008-0000-0000-000004000000}"/>
              </a:ext>
            </a:extLst>
          </xdr:cNvPr>
          <xdr:cNvSpPr/>
        </xdr:nvSpPr>
        <xdr:spPr>
          <a:xfrm>
            <a:off x="5640" y="34036"/>
            <a:ext cx="6191250" cy="440952"/>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5" name="Picture 1">
            <a:extLst>
              <a:ext uri="{FF2B5EF4-FFF2-40B4-BE49-F238E27FC236}">
                <a16:creationId xmlns:a16="http://schemas.microsoft.com/office/drawing/2014/main" id="{00000000-0008-0000-0000-000005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b="8183"/>
          <a:stretch/>
        </xdr:blipFill>
        <xdr:spPr>
          <a:xfrm>
            <a:off x="231986" y="100236"/>
            <a:ext cx="675292" cy="239231"/>
          </a:xfrm>
          <a:prstGeom prst="rect">
            <a:avLst/>
          </a:prstGeom>
        </xdr:spPr>
      </xdr:pic>
      <xdr:pic>
        <xdr:nvPicPr>
          <xdr:cNvPr id="7" name="Picture 9">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backgroundRemoval t="10000" b="90000" l="10000" r="90000"/>
                    </a14:imgEffect>
                  </a14:imgLayer>
                </a14:imgProps>
              </a:ext>
            </a:extLst>
          </a:blip>
          <a:stretch>
            <a:fillRect/>
          </a:stretch>
        </xdr:blipFill>
        <xdr:spPr>
          <a:xfrm>
            <a:off x="5352207" y="22816"/>
            <a:ext cx="625936" cy="478463"/>
          </a:xfrm>
          <a:prstGeom prst="rect">
            <a:avLst/>
          </a:prstGeom>
        </xdr:spPr>
      </xdr:pic>
      <xdr:sp macro="" textlink="">
        <xdr:nvSpPr>
          <xdr:cNvPr id="8" name="TextBox 24">
            <a:extLst>
              <a:ext uri="{FF2B5EF4-FFF2-40B4-BE49-F238E27FC236}">
                <a16:creationId xmlns:a16="http://schemas.microsoft.com/office/drawing/2014/main" id="{00000000-0008-0000-0000-000008000000}"/>
              </a:ext>
            </a:extLst>
          </xdr:cNvPr>
          <xdr:cNvSpPr txBox="1"/>
        </xdr:nvSpPr>
        <xdr:spPr>
          <a:xfrm>
            <a:off x="1131287" y="38100"/>
            <a:ext cx="4052265" cy="4546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a:solidFill>
                  <a:schemeClr val="bg1"/>
                </a:solidFill>
              </a:rPr>
              <a:t>Belimo Energy Valve
Coil </a:t>
            </a:r>
            <a:r>
              <a:rPr lang="el-GR" sz="2400">
                <a:solidFill>
                  <a:schemeClr val="bg1"/>
                </a:solidFill>
              </a:rPr>
              <a:t>Δ</a:t>
            </a:r>
            <a:r>
              <a:rPr lang="en-US" sz="2400">
                <a:solidFill>
                  <a:schemeClr val="bg1"/>
                </a:solidFill>
              </a:rPr>
              <a:t>T Savings Estimator</a:t>
            </a:r>
            <a:endParaRPr lang="en-US" sz="1800">
              <a:solidFill>
                <a:schemeClr val="bg1"/>
              </a:solidFill>
            </a:endParaRPr>
          </a:p>
        </xdr:txBody>
      </xdr:sp>
    </xdr:grpSp>
    <xdr:clientData/>
  </xdr:twoCellAnchor>
  <xdr:twoCellAnchor>
    <xdr:from>
      <xdr:col>8</xdr:col>
      <xdr:colOff>388620</xdr:colOff>
      <xdr:row>7</xdr:row>
      <xdr:rowOff>125730</xdr:rowOff>
    </xdr:from>
    <xdr:to>
      <xdr:col>10</xdr:col>
      <xdr:colOff>93345</xdr:colOff>
      <xdr:row>8</xdr:row>
      <xdr:rowOff>140970</xdr:rowOff>
    </xdr:to>
    <xdr:grpSp>
      <xdr:nvGrpSpPr>
        <xdr:cNvPr id="16" name="Group 15">
          <a:extLst>
            <a:ext uri="{FF2B5EF4-FFF2-40B4-BE49-F238E27FC236}">
              <a16:creationId xmlns:a16="http://schemas.microsoft.com/office/drawing/2014/main" id="{00000000-0008-0000-0000-000010000000}"/>
            </a:ext>
          </a:extLst>
        </xdr:cNvPr>
        <xdr:cNvGrpSpPr/>
      </xdr:nvGrpSpPr>
      <xdr:grpSpPr>
        <a:xfrm>
          <a:off x="7873153" y="2073063"/>
          <a:ext cx="1398059" cy="286174"/>
          <a:chOff x="7669530" y="1564005"/>
          <a:chExt cx="1358265" cy="276225"/>
        </a:xfrm>
      </xdr:grpSpPr>
      <xdr:sp macro="" textlink="">
        <xdr:nvSpPr>
          <xdr:cNvPr id="13" name="Rectangle: Rounded Corners 12">
            <a:extLst>
              <a:ext uri="{FF2B5EF4-FFF2-40B4-BE49-F238E27FC236}">
                <a16:creationId xmlns:a16="http://schemas.microsoft.com/office/drawing/2014/main" id="{00000000-0008-0000-0000-00000D000000}"/>
              </a:ext>
            </a:extLst>
          </xdr:cNvPr>
          <xdr:cNvSpPr/>
        </xdr:nvSpPr>
        <xdr:spPr>
          <a:xfrm>
            <a:off x="7669530" y="1564005"/>
            <a:ext cx="1358265" cy="276225"/>
          </a:xfrm>
          <a:prstGeom prst="roundRect">
            <a:avLst/>
          </a:prstGeom>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Step 2</a:t>
            </a:r>
          </a:p>
        </xdr:txBody>
      </xdr:sp>
      <xdr:sp macro="" textlink="">
        <xdr:nvSpPr>
          <xdr:cNvPr id="15" name="Oval 14">
            <a:extLst>
              <a:ext uri="{FF2B5EF4-FFF2-40B4-BE49-F238E27FC236}">
                <a16:creationId xmlns:a16="http://schemas.microsoft.com/office/drawing/2014/main" id="{00000000-0008-0000-0000-00000F000000}"/>
              </a:ext>
            </a:extLst>
          </xdr:cNvPr>
          <xdr:cNvSpPr>
            <a:spLocks noChangeAspect="1"/>
          </xdr:cNvSpPr>
        </xdr:nvSpPr>
        <xdr:spPr>
          <a:xfrm>
            <a:off x="7757161" y="1611631"/>
            <a:ext cx="182880" cy="184382"/>
          </a:xfrm>
          <a:prstGeom prst="ellipse">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25400">
            <a:solidFill>
              <a:srgbClr val="FF660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8</xdr:col>
      <xdr:colOff>432435</xdr:colOff>
      <xdr:row>9</xdr:row>
      <xdr:rowOff>3810</xdr:rowOff>
    </xdr:from>
    <xdr:to>
      <xdr:col>10</xdr:col>
      <xdr:colOff>83820</xdr:colOff>
      <xdr:row>18</xdr:row>
      <xdr:rowOff>110490</xdr:rowOff>
    </xdr:to>
    <xdr:sp macro="" textlink="">
      <xdr:nvSpPr>
        <xdr:cNvPr id="17" name="TextBox 16">
          <a:extLst>
            <a:ext uri="{FF2B5EF4-FFF2-40B4-BE49-F238E27FC236}">
              <a16:creationId xmlns:a16="http://schemas.microsoft.com/office/drawing/2014/main" id="{00000000-0008-0000-0000-000011000000}"/>
            </a:ext>
          </a:extLst>
        </xdr:cNvPr>
        <xdr:cNvSpPr txBox="1"/>
      </xdr:nvSpPr>
      <xdr:spPr>
        <a:xfrm>
          <a:off x="7313295" y="1619250"/>
          <a:ext cx="1297305" cy="1752600"/>
        </a:xfrm>
        <a:prstGeom prst="rect">
          <a:avLst/>
        </a:prstGeom>
        <a:solidFill>
          <a:schemeClr val="lt1"/>
        </a:solidFill>
        <a:ln w="2857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Enter into the boxes on the left, the:
Electric Costs
Coil Design GPM
Operating Hours
Pump Head
Motor Efficiency
DeltaT's</a:t>
          </a:r>
        </a:p>
      </xdr:txBody>
    </xdr:sp>
    <xdr:clientData/>
  </xdr:twoCellAnchor>
  <xdr:twoCellAnchor>
    <xdr:from>
      <xdr:col>8</xdr:col>
      <xdr:colOff>388620</xdr:colOff>
      <xdr:row>21</xdr:row>
      <xdr:rowOff>53340</xdr:rowOff>
    </xdr:from>
    <xdr:to>
      <xdr:col>10</xdr:col>
      <xdr:colOff>93345</xdr:colOff>
      <xdr:row>22</xdr:row>
      <xdr:rowOff>158115</xdr:rowOff>
    </xdr:to>
    <xdr:grpSp>
      <xdr:nvGrpSpPr>
        <xdr:cNvPr id="18" name="Group 17">
          <a:extLst>
            <a:ext uri="{FF2B5EF4-FFF2-40B4-BE49-F238E27FC236}">
              <a16:creationId xmlns:a16="http://schemas.microsoft.com/office/drawing/2014/main" id="{00000000-0008-0000-0000-000012000000}"/>
            </a:ext>
          </a:extLst>
        </xdr:cNvPr>
        <xdr:cNvGrpSpPr/>
      </xdr:nvGrpSpPr>
      <xdr:grpSpPr>
        <a:xfrm>
          <a:off x="7873153" y="4786207"/>
          <a:ext cx="1398059" cy="282575"/>
          <a:chOff x="7669530" y="1564005"/>
          <a:chExt cx="1358265" cy="276225"/>
        </a:xfrm>
      </xdr:grpSpPr>
      <xdr:sp macro="" textlink="">
        <xdr:nvSpPr>
          <xdr:cNvPr id="19" name="Rectangle: Rounded Corners 18">
            <a:extLst>
              <a:ext uri="{FF2B5EF4-FFF2-40B4-BE49-F238E27FC236}">
                <a16:creationId xmlns:a16="http://schemas.microsoft.com/office/drawing/2014/main" id="{00000000-0008-0000-0000-000013000000}"/>
              </a:ext>
            </a:extLst>
          </xdr:cNvPr>
          <xdr:cNvSpPr/>
        </xdr:nvSpPr>
        <xdr:spPr>
          <a:xfrm>
            <a:off x="7669530" y="1564005"/>
            <a:ext cx="1358265" cy="276225"/>
          </a:xfrm>
          <a:prstGeom prst="roundRect">
            <a:avLst/>
          </a:prstGeom>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Step 3</a:t>
            </a:r>
          </a:p>
        </xdr:txBody>
      </xdr:sp>
      <xdr:sp macro="" textlink="">
        <xdr:nvSpPr>
          <xdr:cNvPr id="20" name="Oval 19">
            <a:extLst>
              <a:ext uri="{FF2B5EF4-FFF2-40B4-BE49-F238E27FC236}">
                <a16:creationId xmlns:a16="http://schemas.microsoft.com/office/drawing/2014/main" id="{00000000-0008-0000-0000-000014000000}"/>
              </a:ext>
            </a:extLst>
          </xdr:cNvPr>
          <xdr:cNvSpPr>
            <a:spLocks noChangeAspect="1"/>
          </xdr:cNvSpPr>
        </xdr:nvSpPr>
        <xdr:spPr>
          <a:xfrm>
            <a:off x="7757161" y="1611631"/>
            <a:ext cx="182880" cy="184382"/>
          </a:xfrm>
          <a:prstGeom prst="ellipse">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25400">
            <a:solidFill>
              <a:srgbClr val="FF660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8</xdr:col>
      <xdr:colOff>419100</xdr:colOff>
      <xdr:row>25</xdr:row>
      <xdr:rowOff>34290</xdr:rowOff>
    </xdr:from>
    <xdr:to>
      <xdr:col>10</xdr:col>
      <xdr:colOff>167640</xdr:colOff>
      <xdr:row>34</xdr:row>
      <xdr:rowOff>139065</xdr:rowOff>
    </xdr:to>
    <xdr:sp macro="" textlink="">
      <xdr:nvSpPr>
        <xdr:cNvPr id="22" name="TextBox 21">
          <a:extLst>
            <a:ext uri="{FF2B5EF4-FFF2-40B4-BE49-F238E27FC236}">
              <a16:creationId xmlns:a16="http://schemas.microsoft.com/office/drawing/2014/main" id="{00000000-0008-0000-0000-000016000000}"/>
            </a:ext>
          </a:extLst>
        </xdr:cNvPr>
        <xdr:cNvSpPr txBox="1"/>
      </xdr:nvSpPr>
      <xdr:spPr>
        <a:xfrm>
          <a:off x="7299960" y="4575810"/>
          <a:ext cx="1394460" cy="1758315"/>
        </a:xfrm>
        <a:prstGeom prst="rect">
          <a:avLst/>
        </a:prstGeom>
        <a:solidFill>
          <a:schemeClr val="lt1"/>
        </a:solidFill>
        <a:ln w="2857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Enter into the boxes on the left, the:
Climate Region from the drop down box
% of Operating Time
Enter Percentages of operating time.
</a:t>
          </a:r>
          <a:endParaRPr lang="en-US" sz="1100"/>
        </a:p>
      </xdr:txBody>
    </xdr:sp>
    <xdr:clientData/>
  </xdr:twoCellAnchor>
  <xdr:twoCellAnchor>
    <xdr:from>
      <xdr:col>8</xdr:col>
      <xdr:colOff>388620</xdr:colOff>
      <xdr:row>37</xdr:row>
      <xdr:rowOff>163830</xdr:rowOff>
    </xdr:from>
    <xdr:to>
      <xdr:col>10</xdr:col>
      <xdr:colOff>93345</xdr:colOff>
      <xdr:row>39</xdr:row>
      <xdr:rowOff>104775</xdr:rowOff>
    </xdr:to>
    <xdr:grpSp>
      <xdr:nvGrpSpPr>
        <xdr:cNvPr id="26" name="Step3Group">
          <a:extLst>
            <a:ext uri="{FF2B5EF4-FFF2-40B4-BE49-F238E27FC236}">
              <a16:creationId xmlns:a16="http://schemas.microsoft.com/office/drawing/2014/main" id="{00000000-0008-0000-0000-00001A000000}"/>
            </a:ext>
          </a:extLst>
        </xdr:cNvPr>
        <xdr:cNvGrpSpPr/>
      </xdr:nvGrpSpPr>
      <xdr:grpSpPr>
        <a:xfrm>
          <a:off x="7873153" y="7987030"/>
          <a:ext cx="1398059" cy="313478"/>
          <a:chOff x="7669530" y="1564005"/>
          <a:chExt cx="1358265" cy="276225"/>
        </a:xfrm>
      </xdr:grpSpPr>
      <xdr:sp macro="" textlink="">
        <xdr:nvSpPr>
          <xdr:cNvPr id="27" name="Rectangle: Rounded Corners 26">
            <a:extLst>
              <a:ext uri="{FF2B5EF4-FFF2-40B4-BE49-F238E27FC236}">
                <a16:creationId xmlns:a16="http://schemas.microsoft.com/office/drawing/2014/main" id="{00000000-0008-0000-0000-00001B000000}"/>
              </a:ext>
            </a:extLst>
          </xdr:cNvPr>
          <xdr:cNvSpPr/>
        </xdr:nvSpPr>
        <xdr:spPr>
          <a:xfrm>
            <a:off x="7669530" y="1564005"/>
            <a:ext cx="1358265" cy="276225"/>
          </a:xfrm>
          <a:prstGeom prst="roundRect">
            <a:avLst/>
          </a:prstGeom>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Step 4</a:t>
            </a:r>
          </a:p>
        </xdr:txBody>
      </xdr:sp>
      <xdr:sp macro="" textlink="">
        <xdr:nvSpPr>
          <xdr:cNvPr id="28" name="Oval 27">
            <a:extLst>
              <a:ext uri="{FF2B5EF4-FFF2-40B4-BE49-F238E27FC236}">
                <a16:creationId xmlns:a16="http://schemas.microsoft.com/office/drawing/2014/main" id="{00000000-0008-0000-0000-00001C000000}"/>
              </a:ext>
            </a:extLst>
          </xdr:cNvPr>
          <xdr:cNvSpPr>
            <a:spLocks noChangeAspect="1"/>
          </xdr:cNvSpPr>
        </xdr:nvSpPr>
        <xdr:spPr>
          <a:xfrm>
            <a:off x="7757161" y="1611631"/>
            <a:ext cx="182880" cy="184382"/>
          </a:xfrm>
          <a:prstGeom prst="ellipse">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25400">
            <a:solidFill>
              <a:srgbClr val="FF660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8</xdr:col>
      <xdr:colOff>432435</xdr:colOff>
      <xdr:row>40</xdr:row>
      <xdr:rowOff>95250</xdr:rowOff>
    </xdr:from>
    <xdr:to>
      <xdr:col>10</xdr:col>
      <xdr:colOff>85725</xdr:colOff>
      <xdr:row>45</xdr:row>
      <xdr:rowOff>74295</xdr:rowOff>
    </xdr:to>
    <xdr:sp macro="" textlink="">
      <xdr:nvSpPr>
        <xdr:cNvPr id="35" name="TextBox 34">
          <a:extLst>
            <a:ext uri="{FF2B5EF4-FFF2-40B4-BE49-F238E27FC236}">
              <a16:creationId xmlns:a16="http://schemas.microsoft.com/office/drawing/2014/main" id="{00000000-0008-0000-0000-000023000000}"/>
            </a:ext>
          </a:extLst>
        </xdr:cNvPr>
        <xdr:cNvSpPr txBox="1"/>
      </xdr:nvSpPr>
      <xdr:spPr>
        <a:xfrm>
          <a:off x="7299960" y="7362825"/>
          <a:ext cx="1301115" cy="883920"/>
        </a:xfrm>
        <a:prstGeom prst="rect">
          <a:avLst/>
        </a:prstGeom>
        <a:solidFill>
          <a:schemeClr val="lt1"/>
        </a:solidFill>
        <a:ln w="2857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Verify your Climate Region or select custom and insert your own value.
</a:t>
          </a:r>
          <a:endParaRPr lang="en-US" sz="1100"/>
        </a:p>
      </xdr:txBody>
    </xdr:sp>
    <xdr:clientData/>
  </xdr:twoCellAnchor>
  <xdr:twoCellAnchor editAs="oneCell">
    <xdr:from>
      <xdr:col>4</xdr:col>
      <xdr:colOff>1211580</xdr:colOff>
      <xdr:row>16</xdr:row>
      <xdr:rowOff>38100</xdr:rowOff>
    </xdr:from>
    <xdr:to>
      <xdr:col>4</xdr:col>
      <xdr:colOff>1367790</xdr:colOff>
      <xdr:row>16</xdr:row>
      <xdr:rowOff>156210</xdr:rowOff>
    </xdr:to>
    <xdr:sp macro="[0]!InfoClick" textlink="">
      <xdr:nvSpPr>
        <xdr:cNvPr id="36" name="Oval 35">
          <a:extLst>
            <a:ext uri="{FF2B5EF4-FFF2-40B4-BE49-F238E27FC236}">
              <a16:creationId xmlns:a16="http://schemas.microsoft.com/office/drawing/2014/main" id="{00000000-0008-0000-0000-000024000000}"/>
            </a:ext>
          </a:extLst>
        </xdr:cNvPr>
        <xdr:cNvSpPr>
          <a:spLocks noChangeAspect="1"/>
        </xdr:cNvSpPr>
      </xdr:nvSpPr>
      <xdr:spPr>
        <a:xfrm>
          <a:off x="3779520" y="2750820"/>
          <a:ext cx="148590" cy="12192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xdr:from>
      <xdr:col>8</xdr:col>
      <xdr:colOff>388620</xdr:colOff>
      <xdr:row>57</xdr:row>
      <xdr:rowOff>99060</xdr:rowOff>
    </xdr:from>
    <xdr:to>
      <xdr:col>10</xdr:col>
      <xdr:colOff>89535</xdr:colOff>
      <xdr:row>59</xdr:row>
      <xdr:rowOff>30480</xdr:rowOff>
    </xdr:to>
    <xdr:grpSp>
      <xdr:nvGrpSpPr>
        <xdr:cNvPr id="37" name="Group 36">
          <a:extLst>
            <a:ext uri="{FF2B5EF4-FFF2-40B4-BE49-F238E27FC236}">
              <a16:creationId xmlns:a16="http://schemas.microsoft.com/office/drawing/2014/main" id="{00000000-0008-0000-0000-000025000000}"/>
            </a:ext>
          </a:extLst>
        </xdr:cNvPr>
        <xdr:cNvGrpSpPr/>
      </xdr:nvGrpSpPr>
      <xdr:grpSpPr>
        <a:xfrm>
          <a:off x="7873153" y="11520593"/>
          <a:ext cx="1394249" cy="287020"/>
          <a:chOff x="7669530" y="1564005"/>
          <a:chExt cx="1358265" cy="276225"/>
        </a:xfrm>
      </xdr:grpSpPr>
      <xdr:sp macro="" textlink="">
        <xdr:nvSpPr>
          <xdr:cNvPr id="38" name="Rectangle: Rounded Corners 37">
            <a:extLst>
              <a:ext uri="{FF2B5EF4-FFF2-40B4-BE49-F238E27FC236}">
                <a16:creationId xmlns:a16="http://schemas.microsoft.com/office/drawing/2014/main" id="{00000000-0008-0000-0000-000026000000}"/>
              </a:ext>
            </a:extLst>
          </xdr:cNvPr>
          <xdr:cNvSpPr/>
        </xdr:nvSpPr>
        <xdr:spPr>
          <a:xfrm>
            <a:off x="7669530" y="1564005"/>
            <a:ext cx="1358265" cy="276225"/>
          </a:xfrm>
          <a:prstGeom prst="roundRect">
            <a:avLst/>
          </a:prstGeom>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Step 5</a:t>
            </a:r>
          </a:p>
        </xdr:txBody>
      </xdr:sp>
      <xdr:sp macro="" textlink="">
        <xdr:nvSpPr>
          <xdr:cNvPr id="39" name="Oval 38">
            <a:extLst>
              <a:ext uri="{FF2B5EF4-FFF2-40B4-BE49-F238E27FC236}">
                <a16:creationId xmlns:a16="http://schemas.microsoft.com/office/drawing/2014/main" id="{00000000-0008-0000-0000-000027000000}"/>
              </a:ext>
            </a:extLst>
          </xdr:cNvPr>
          <xdr:cNvSpPr>
            <a:spLocks noChangeAspect="1"/>
          </xdr:cNvSpPr>
        </xdr:nvSpPr>
        <xdr:spPr>
          <a:xfrm>
            <a:off x="7757161" y="1611631"/>
            <a:ext cx="182880" cy="184382"/>
          </a:xfrm>
          <a:prstGeom prst="ellipse">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25400">
            <a:solidFill>
              <a:srgbClr val="FF660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8</xdr:col>
      <xdr:colOff>466090</xdr:colOff>
      <xdr:row>59</xdr:row>
      <xdr:rowOff>170603</xdr:rowOff>
    </xdr:from>
    <xdr:to>
      <xdr:col>10</xdr:col>
      <xdr:colOff>174625</xdr:colOff>
      <xdr:row>66</xdr:row>
      <xdr:rowOff>69638</xdr:rowOff>
    </xdr:to>
    <xdr:sp macro="" textlink="">
      <xdr:nvSpPr>
        <xdr:cNvPr id="40" name="TextBox 39">
          <a:extLst>
            <a:ext uri="{FF2B5EF4-FFF2-40B4-BE49-F238E27FC236}">
              <a16:creationId xmlns:a16="http://schemas.microsoft.com/office/drawing/2014/main" id="{00000000-0008-0000-0000-000028000000}"/>
            </a:ext>
          </a:extLst>
        </xdr:cNvPr>
        <xdr:cNvSpPr txBox="1"/>
      </xdr:nvSpPr>
      <xdr:spPr>
        <a:xfrm>
          <a:off x="7527290" y="10745470"/>
          <a:ext cx="1401868" cy="1143635"/>
        </a:xfrm>
        <a:prstGeom prst="rect">
          <a:avLst/>
        </a:prstGeom>
        <a:solidFill>
          <a:schemeClr val="lt1"/>
        </a:solidFill>
        <a:ln w="2857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Enter the estimated cost to purchase Energy Valves and the cost of installation.
</a:t>
          </a:r>
          <a:endParaRPr lang="en-US" sz="1100"/>
        </a:p>
      </xdr:txBody>
    </xdr:sp>
    <xdr:clientData/>
  </xdr:twoCellAnchor>
  <xdr:twoCellAnchor editAs="oneCell">
    <xdr:from>
      <xdr:col>10</xdr:col>
      <xdr:colOff>355600</xdr:colOff>
      <xdr:row>3</xdr:row>
      <xdr:rowOff>60112</xdr:rowOff>
    </xdr:from>
    <xdr:to>
      <xdr:col>10</xdr:col>
      <xdr:colOff>601830</xdr:colOff>
      <xdr:row>3</xdr:row>
      <xdr:rowOff>258655</xdr:rowOff>
    </xdr:to>
    <xdr:sp macro="[0]!ShowAboutDlg" textlink="">
      <xdr:nvSpPr>
        <xdr:cNvPr id="41" name="Oval 40">
          <a:extLst>
            <a:ext uri="{FF2B5EF4-FFF2-40B4-BE49-F238E27FC236}">
              <a16:creationId xmlns:a16="http://schemas.microsoft.com/office/drawing/2014/main" id="{00000000-0008-0000-0000-000029000000}"/>
            </a:ext>
          </a:extLst>
        </xdr:cNvPr>
        <xdr:cNvSpPr>
          <a:spLocks noChangeAspect="1"/>
        </xdr:cNvSpPr>
      </xdr:nvSpPr>
      <xdr:spPr>
        <a:xfrm>
          <a:off x="9533467" y="1008379"/>
          <a:ext cx="246230" cy="198543"/>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4</xdr:col>
      <xdr:colOff>1226820</xdr:colOff>
      <xdr:row>11</xdr:row>
      <xdr:rowOff>38100</xdr:rowOff>
    </xdr:from>
    <xdr:to>
      <xdr:col>4</xdr:col>
      <xdr:colOff>1375410</xdr:colOff>
      <xdr:row>11</xdr:row>
      <xdr:rowOff>156210</xdr:rowOff>
    </xdr:to>
    <xdr:sp macro="[0]!InfoClick" textlink="">
      <xdr:nvSpPr>
        <xdr:cNvPr id="43" name="Oval 42">
          <a:extLst>
            <a:ext uri="{FF2B5EF4-FFF2-40B4-BE49-F238E27FC236}">
              <a16:creationId xmlns:a16="http://schemas.microsoft.com/office/drawing/2014/main" id="{00000000-0008-0000-0000-00002B000000}"/>
            </a:ext>
          </a:extLst>
        </xdr:cNvPr>
        <xdr:cNvSpPr>
          <a:spLocks noChangeAspect="1"/>
        </xdr:cNvSpPr>
      </xdr:nvSpPr>
      <xdr:spPr>
        <a:xfrm>
          <a:off x="3794760" y="2019300"/>
          <a:ext cx="148590" cy="1181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xdr:from>
      <xdr:col>0</xdr:col>
      <xdr:colOff>450851</xdr:colOff>
      <xdr:row>69</xdr:row>
      <xdr:rowOff>44449</xdr:rowOff>
    </xdr:from>
    <xdr:to>
      <xdr:col>7</xdr:col>
      <xdr:colOff>334646</xdr:colOff>
      <xdr:row>70</xdr:row>
      <xdr:rowOff>152592</xdr:rowOff>
    </xdr:to>
    <xdr:sp macro="" textlink="">
      <xdr:nvSpPr>
        <xdr:cNvPr id="2" name="HdrDisclaimer">
          <a:extLst>
            <a:ext uri="{FF2B5EF4-FFF2-40B4-BE49-F238E27FC236}">
              <a16:creationId xmlns:a16="http://schemas.microsoft.com/office/drawing/2014/main" id="{00000000-0008-0000-0000-000002000000}"/>
            </a:ext>
          </a:extLst>
        </xdr:cNvPr>
        <xdr:cNvSpPr/>
      </xdr:nvSpPr>
      <xdr:spPr>
        <a:xfrm>
          <a:off x="450851" y="12397316"/>
          <a:ext cx="6453928" cy="285943"/>
        </a:xfrm>
        <a:prstGeom prst="roundRect">
          <a:avLst/>
        </a:prstGeom>
        <a:gradFill flip="none" rotWithShape="1">
          <a:gsLst>
            <a:gs pos="0">
              <a:srgbClr val="FF6600"/>
            </a:gs>
            <a:gs pos="70000">
              <a:srgbClr val="FF6600"/>
            </a:gs>
            <a:gs pos="100000">
              <a:srgbClr val="FF6600"/>
            </a:gs>
          </a:gsLst>
          <a:lin ang="18900000" scaled="1"/>
          <a:tileRect/>
        </a:gradFill>
        <a:ln/>
        <a:scene3d>
          <a:camera prst="orthographicFront"/>
          <a:lightRig rig="threePt" dir="t"/>
        </a:scene3d>
        <a:sp3d>
          <a:bevel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Disclaimer</a:t>
          </a:r>
        </a:p>
      </xdr:txBody>
    </xdr:sp>
    <xdr:clientData/>
  </xdr:twoCellAnchor>
  <xdr:twoCellAnchor>
    <xdr:from>
      <xdr:col>0</xdr:col>
      <xdr:colOff>387348</xdr:colOff>
      <xdr:row>72</xdr:row>
      <xdr:rowOff>24339</xdr:rowOff>
    </xdr:from>
    <xdr:to>
      <xdr:col>7</xdr:col>
      <xdr:colOff>745066</xdr:colOff>
      <xdr:row>80</xdr:row>
      <xdr:rowOff>160866</xdr:rowOff>
    </xdr:to>
    <xdr:sp macro="" textlink="">
      <xdr:nvSpPr>
        <xdr:cNvPr id="10" name="Rectangle 9">
          <a:extLst>
            <a:ext uri="{FF2B5EF4-FFF2-40B4-BE49-F238E27FC236}">
              <a16:creationId xmlns:a16="http://schemas.microsoft.com/office/drawing/2014/main" id="{00000000-0008-0000-0000-00000A000000}"/>
            </a:ext>
          </a:extLst>
        </xdr:cNvPr>
        <xdr:cNvSpPr/>
      </xdr:nvSpPr>
      <xdr:spPr>
        <a:xfrm>
          <a:off x="387348" y="12910606"/>
          <a:ext cx="6927851" cy="1558927"/>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solidFill>
                <a:schemeClr val="tx1"/>
              </a:solidFill>
            </a:rPr>
            <a:t>This tool is not copyrighted by Belimo Aircontrols (USA), Inc. 
This is strictly an estimating Tool to be used Internally Only.  
Results are dependent upon the accuracy of the data imputed, and does not take into consideration any external factors. The results are designed to look at the effects of pump costs over various DeltaT's for a single coil utilizing standard calculations via Pump Affinity Rules. 
This tool was designed to help answer the following question:
"So...how much will this smart valve save me on this air handler?"</a:t>
          </a:r>
        </a:p>
      </xdr:txBody>
    </xdr:sp>
    <xdr:clientData/>
  </xdr:twoCellAnchor>
  <xdr:twoCellAnchor editAs="oneCell">
    <xdr:from>
      <xdr:col>1</xdr:col>
      <xdr:colOff>540807</xdr:colOff>
      <xdr:row>86</xdr:row>
      <xdr:rowOff>78316</xdr:rowOff>
    </xdr:from>
    <xdr:to>
      <xdr:col>2</xdr:col>
      <xdr:colOff>662727</xdr:colOff>
      <xdr:row>90</xdr:row>
      <xdr:rowOff>85936</xdr:rowOff>
    </xdr:to>
    <xdr:pic>
      <xdr:nvPicPr>
        <xdr:cNvPr id="21" name="Picture 20">
          <a:extLst>
            <a:ext uri="{FF2B5EF4-FFF2-40B4-BE49-F238E27FC236}">
              <a16:creationId xmlns:a16="http://schemas.microsoft.com/office/drawing/2014/main" id="{00000000-0008-0000-0000-000015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998007" y="15453783"/>
          <a:ext cx="748453" cy="718820"/>
        </a:xfrm>
        <a:prstGeom prst="rect">
          <a:avLst/>
        </a:prstGeom>
      </xdr:spPr>
    </xdr:pic>
    <xdr:clientData/>
  </xdr:twoCellAnchor>
  <xdr:twoCellAnchor>
    <xdr:from>
      <xdr:col>0</xdr:col>
      <xdr:colOff>397933</xdr:colOff>
      <xdr:row>82</xdr:row>
      <xdr:rowOff>120651</xdr:rowOff>
    </xdr:from>
    <xdr:to>
      <xdr:col>3</xdr:col>
      <xdr:colOff>359833</xdr:colOff>
      <xdr:row>84</xdr:row>
      <xdr:rowOff>50994</xdr:rowOff>
    </xdr:to>
    <xdr:sp macro="" textlink="">
      <xdr:nvSpPr>
        <xdr:cNvPr id="23" name="HdrFeedback">
          <a:extLst>
            <a:ext uri="{FF2B5EF4-FFF2-40B4-BE49-F238E27FC236}">
              <a16:creationId xmlns:a16="http://schemas.microsoft.com/office/drawing/2014/main" id="{00000000-0008-0000-0000-000017000000}"/>
            </a:ext>
          </a:extLst>
        </xdr:cNvPr>
        <xdr:cNvSpPr/>
      </xdr:nvSpPr>
      <xdr:spPr>
        <a:xfrm>
          <a:off x="397933" y="14784918"/>
          <a:ext cx="1968500" cy="285943"/>
        </a:xfrm>
        <a:prstGeom prst="roundRect">
          <a:avLst/>
        </a:prstGeom>
        <a:gradFill flip="none" rotWithShape="1">
          <a:gsLst>
            <a:gs pos="0">
              <a:srgbClr val="FF6600"/>
            </a:gs>
            <a:gs pos="70000">
              <a:srgbClr val="FF6600"/>
            </a:gs>
            <a:gs pos="100000">
              <a:srgbClr val="FF6600"/>
            </a:gs>
          </a:gsLst>
          <a:lin ang="18900000" scaled="1"/>
          <a:tileRect/>
        </a:gradFill>
        <a:ln/>
        <a:scene3d>
          <a:camera prst="orthographicFront"/>
          <a:lightRig rig="threePt" dir="t"/>
        </a:scene3d>
        <a:sp3d>
          <a:bevel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Feedback</a:t>
          </a:r>
        </a:p>
      </xdr:txBody>
    </xdr:sp>
    <xdr:clientData/>
  </xdr:twoCellAnchor>
  <xdr:twoCellAnchor>
    <xdr:from>
      <xdr:col>3</xdr:col>
      <xdr:colOff>492127</xdr:colOff>
      <xdr:row>82</xdr:row>
      <xdr:rowOff>146049</xdr:rowOff>
    </xdr:from>
    <xdr:to>
      <xdr:col>7</xdr:col>
      <xdr:colOff>694267</xdr:colOff>
      <xdr:row>91</xdr:row>
      <xdr:rowOff>0</xdr:rowOff>
    </xdr:to>
    <xdr:sp macro="" textlink="">
      <xdr:nvSpPr>
        <xdr:cNvPr id="25" name="Rectangle 24">
          <a:hlinkClick xmlns:r="http://schemas.openxmlformats.org/officeDocument/2006/relationships" r:id="rId6"/>
          <a:extLst>
            <a:ext uri="{FF2B5EF4-FFF2-40B4-BE49-F238E27FC236}">
              <a16:creationId xmlns:a16="http://schemas.microsoft.com/office/drawing/2014/main" id="{00000000-0008-0000-0000-000019000000}"/>
            </a:ext>
          </a:extLst>
        </xdr:cNvPr>
        <xdr:cNvSpPr/>
      </xdr:nvSpPr>
      <xdr:spPr>
        <a:xfrm>
          <a:off x="2498727" y="14810316"/>
          <a:ext cx="4765673" cy="1454151"/>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solidFill>
                <a:schemeClr val="tx1"/>
              </a:solidFill>
            </a:rPr>
            <a:t>If you would like to leave feedback on your experience of using the tool or if you have any suggestions to help make the tool even more useful, please use the QR code to the left or just click on the link below.
Energy Valve Coil Estimator Tool Feedback</a:t>
          </a:r>
          <a:endParaRPr lang="en-US" sz="1100" u="sng" baseline="0">
            <a:solidFill>
              <a:srgbClr val="000080"/>
            </a:solidFill>
          </a:endParaRPr>
        </a:p>
      </xdr:txBody>
    </xdr:sp>
    <xdr:clientData/>
  </xdr:twoCellAnchor>
  <xdr:twoCellAnchor>
    <xdr:from>
      <xdr:col>0</xdr:col>
      <xdr:colOff>400050</xdr:colOff>
      <xdr:row>3</xdr:row>
      <xdr:rowOff>42335</xdr:rowOff>
    </xdr:from>
    <xdr:to>
      <xdr:col>7</xdr:col>
      <xdr:colOff>287867</xdr:colOff>
      <xdr:row>3</xdr:row>
      <xdr:rowOff>347135</xdr:rowOff>
    </xdr:to>
    <xdr:sp macro="" textlink="">
      <xdr:nvSpPr>
        <xdr:cNvPr id="14" name="HdrLanguageUnitSelection">
          <a:extLst>
            <a:ext uri="{FF2B5EF4-FFF2-40B4-BE49-F238E27FC236}">
              <a16:creationId xmlns:a16="http://schemas.microsoft.com/office/drawing/2014/main" id="{73C1CAEC-7DAC-598C-F044-2324A71CCDEC}"/>
            </a:ext>
          </a:extLst>
        </xdr:cNvPr>
        <xdr:cNvSpPr/>
      </xdr:nvSpPr>
      <xdr:spPr>
        <a:xfrm>
          <a:off x="400050" y="990602"/>
          <a:ext cx="6457950" cy="304800"/>
        </a:xfrm>
        <a:prstGeom prst="roundRect">
          <a:avLst/>
        </a:prstGeom>
        <a:solidFill>
          <a:srgbClr val="FF6600"/>
        </a:solidFill>
        <a:ln>
          <a:solidFill>
            <a:srgbClr val="FFFFFF"/>
          </a:solidFill>
        </a:ln>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0">
              <a:solidFill>
                <a:srgbClr val="FFFFFF"/>
              </a:solidFill>
              <a:latin typeface="HelveticaNeueLT Std Lt"/>
            </a:rPr>
            <a:t>Language &amp; Unit Selection</a:t>
          </a:r>
        </a:p>
      </xdr:txBody>
    </xdr:sp>
    <xdr:clientData/>
  </xdr:twoCellAnchor>
  <xdr:twoCellAnchor>
    <xdr:from>
      <xdr:col>0</xdr:col>
      <xdr:colOff>340783</xdr:colOff>
      <xdr:row>57</xdr:row>
      <xdr:rowOff>152401</xdr:rowOff>
    </xdr:from>
    <xdr:to>
      <xdr:col>7</xdr:col>
      <xdr:colOff>223943</xdr:colOff>
      <xdr:row>59</xdr:row>
      <xdr:rowOff>104141</xdr:rowOff>
    </xdr:to>
    <xdr:sp macro="" textlink="">
      <xdr:nvSpPr>
        <xdr:cNvPr id="24" name="HdrFinancialAnalysis">
          <a:extLst>
            <a:ext uri="{FF2B5EF4-FFF2-40B4-BE49-F238E27FC236}">
              <a16:creationId xmlns:a16="http://schemas.microsoft.com/office/drawing/2014/main" id="{A3A1D246-AB95-3757-9B9E-94B307ACADA9}"/>
            </a:ext>
          </a:extLst>
        </xdr:cNvPr>
        <xdr:cNvSpPr/>
      </xdr:nvSpPr>
      <xdr:spPr>
        <a:xfrm>
          <a:off x="340783" y="10371668"/>
          <a:ext cx="6453293" cy="307340"/>
        </a:xfrm>
        <a:prstGeom prst="roundRect">
          <a:avLst/>
        </a:prstGeom>
        <a:solidFill>
          <a:srgbClr val="FF6600"/>
        </a:solidFill>
        <a:ln>
          <a:solidFill>
            <a:srgbClr val="FFFFFF"/>
          </a:solidFill>
        </a:ln>
        <a:effectLst>
          <a:outerShdw blurRad="50800" dist="50800" dir="5400000" algn="ctr" rotWithShape="0">
            <a:schemeClr val="tx1">
              <a:alpha val="63000"/>
            </a:schemeClr>
          </a:outerShd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0">
              <a:solidFill>
                <a:srgbClr val="FFFFFF"/>
              </a:solidFill>
              <a:latin typeface="HelveticaNeueLT Std Lt"/>
            </a:rPr>
            <a:t>Financial Inputs</a:t>
          </a:r>
        </a:p>
      </xdr:txBody>
    </xdr:sp>
    <xdr:clientData/>
  </xdr:twoCellAnchor>
  <xdr:twoCellAnchor>
    <xdr:from>
      <xdr:col>8</xdr:col>
      <xdr:colOff>388620</xdr:colOff>
      <xdr:row>3</xdr:row>
      <xdr:rowOff>0</xdr:rowOff>
    </xdr:from>
    <xdr:to>
      <xdr:col>10</xdr:col>
      <xdr:colOff>93345</xdr:colOff>
      <xdr:row>3</xdr:row>
      <xdr:rowOff>274320</xdr:rowOff>
    </xdr:to>
    <xdr:grpSp>
      <xdr:nvGrpSpPr>
        <xdr:cNvPr id="29" name="GroupStepLangUnits">
          <a:extLst>
            <a:ext uri="{FF2B5EF4-FFF2-40B4-BE49-F238E27FC236}">
              <a16:creationId xmlns:a16="http://schemas.microsoft.com/office/drawing/2014/main" id="{64DDE2F5-2DDE-145C-1D36-30DA39CF91B2}"/>
            </a:ext>
          </a:extLst>
        </xdr:cNvPr>
        <xdr:cNvGrpSpPr>
          <a:grpSpLocks/>
        </xdr:cNvGrpSpPr>
      </xdr:nvGrpSpPr>
      <xdr:grpSpPr>
        <a:xfrm>
          <a:off x="7873153" y="948267"/>
          <a:ext cx="1398059" cy="274320"/>
          <a:chOff x="7669530" y="1564005"/>
          <a:chExt cx="1358265" cy="276225"/>
        </a:xfrm>
      </xdr:grpSpPr>
      <xdr:sp macro="" textlink="">
        <xdr:nvSpPr>
          <xdr:cNvPr id="30" name="RoundedRectStepLangUnits">
            <a:extLst>
              <a:ext uri="{FF2B5EF4-FFF2-40B4-BE49-F238E27FC236}">
                <a16:creationId xmlns:a16="http://schemas.microsoft.com/office/drawing/2014/main" id="{31CBB004-296E-D465-144A-4C0141473850}"/>
              </a:ext>
            </a:extLst>
          </xdr:cNvPr>
          <xdr:cNvSpPr/>
        </xdr:nvSpPr>
        <xdr:spPr>
          <a:xfrm>
            <a:off x="7669530" y="1564005"/>
            <a:ext cx="1358265" cy="276225"/>
          </a:xfrm>
          <a:prstGeom prst="roundRect">
            <a:avLst/>
          </a:prstGeom>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Step 1</a:t>
            </a:r>
          </a:p>
        </xdr:txBody>
      </xdr:sp>
      <xdr:sp macro="" textlink="">
        <xdr:nvSpPr>
          <xdr:cNvPr id="31" name="Oval 30">
            <a:extLst>
              <a:ext uri="{FF2B5EF4-FFF2-40B4-BE49-F238E27FC236}">
                <a16:creationId xmlns:a16="http://schemas.microsoft.com/office/drawing/2014/main" id="{D80462CB-09F2-D463-9772-167C1E54E6F4}"/>
              </a:ext>
            </a:extLst>
          </xdr:cNvPr>
          <xdr:cNvSpPr>
            <a:spLocks noChangeAspect="1"/>
          </xdr:cNvSpPr>
        </xdr:nvSpPr>
        <xdr:spPr>
          <a:xfrm>
            <a:off x="7757161" y="1611631"/>
            <a:ext cx="182880" cy="184382"/>
          </a:xfrm>
          <a:prstGeom prst="ellipse">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25400">
            <a:solidFill>
              <a:srgbClr val="FF660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8</xdr:col>
      <xdr:colOff>432436</xdr:colOff>
      <xdr:row>3</xdr:row>
      <xdr:rowOff>381845</xdr:rowOff>
    </xdr:from>
    <xdr:to>
      <xdr:col>10</xdr:col>
      <xdr:colOff>83821</xdr:colOff>
      <xdr:row>7</xdr:row>
      <xdr:rowOff>33866</xdr:rowOff>
    </xdr:to>
    <xdr:sp macro="" textlink="">
      <xdr:nvSpPr>
        <xdr:cNvPr id="32" name="TextBoxStepLangUnits">
          <a:extLst>
            <a:ext uri="{FF2B5EF4-FFF2-40B4-BE49-F238E27FC236}">
              <a16:creationId xmlns:a16="http://schemas.microsoft.com/office/drawing/2014/main" id="{1A7DCE15-F19F-A9BC-B165-EA5E97FEC9F2}"/>
            </a:ext>
          </a:extLst>
        </xdr:cNvPr>
        <xdr:cNvSpPr txBox="1"/>
      </xdr:nvSpPr>
      <xdr:spPr>
        <a:xfrm>
          <a:off x="7916969" y="1330112"/>
          <a:ext cx="1344719" cy="651087"/>
        </a:xfrm>
        <a:prstGeom prst="rect">
          <a:avLst/>
        </a:prstGeom>
        <a:solidFill>
          <a:schemeClr val="lt1"/>
        </a:solidFill>
        <a:ln w="2857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Select your preferred Language and Unit system using the drop-down boxes to the right.
</a:t>
          </a:r>
        </a:p>
      </xdr:txBody>
    </xdr:sp>
    <xdr:clientData/>
  </xdr:twoCellAnchor>
  <xdr:twoCellAnchor editAs="oneCell">
    <xdr:from>
      <xdr:col>8</xdr:col>
      <xdr:colOff>22860</xdr:colOff>
      <xdr:row>62</xdr:row>
      <xdr:rowOff>25400</xdr:rowOff>
    </xdr:from>
    <xdr:to>
      <xdr:col>8</xdr:col>
      <xdr:colOff>171450</xdr:colOff>
      <xdr:row>62</xdr:row>
      <xdr:rowOff>143510</xdr:rowOff>
    </xdr:to>
    <xdr:sp macro="[0]!InfoClick" textlink="">
      <xdr:nvSpPr>
        <xdr:cNvPr id="33" name="OvalInfoDiscountRate">
          <a:extLst>
            <a:ext uri="{FF2B5EF4-FFF2-40B4-BE49-F238E27FC236}">
              <a16:creationId xmlns:a16="http://schemas.microsoft.com/office/drawing/2014/main" id="{3F93C0D7-6FB3-45CA-BACA-88AD900BB112}"/>
            </a:ext>
          </a:extLst>
        </xdr:cNvPr>
        <xdr:cNvSpPr>
          <a:spLocks noChangeAspect="1"/>
        </xdr:cNvSpPr>
      </xdr:nvSpPr>
      <xdr:spPr>
        <a:xfrm>
          <a:off x="7505700" y="11973560"/>
          <a:ext cx="148590" cy="1181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8</xdr:col>
      <xdr:colOff>22860</xdr:colOff>
      <xdr:row>65</xdr:row>
      <xdr:rowOff>25400</xdr:rowOff>
    </xdr:from>
    <xdr:to>
      <xdr:col>8</xdr:col>
      <xdr:colOff>171450</xdr:colOff>
      <xdr:row>65</xdr:row>
      <xdr:rowOff>143510</xdr:rowOff>
    </xdr:to>
    <xdr:sp macro="[0]!InfoClick" textlink="">
      <xdr:nvSpPr>
        <xdr:cNvPr id="34" name="OvalInfoNPV">
          <a:extLst>
            <a:ext uri="{FF2B5EF4-FFF2-40B4-BE49-F238E27FC236}">
              <a16:creationId xmlns:a16="http://schemas.microsoft.com/office/drawing/2014/main" id="{287084EE-019A-45DE-A408-0A6363C7B6B6}"/>
            </a:ext>
          </a:extLst>
        </xdr:cNvPr>
        <xdr:cNvSpPr>
          <a:spLocks noChangeAspect="1"/>
        </xdr:cNvSpPr>
      </xdr:nvSpPr>
      <xdr:spPr>
        <a:xfrm>
          <a:off x="7505700" y="12499340"/>
          <a:ext cx="148590" cy="1181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8</xdr:col>
      <xdr:colOff>22860</xdr:colOff>
      <xdr:row>66</xdr:row>
      <xdr:rowOff>25400</xdr:rowOff>
    </xdr:from>
    <xdr:to>
      <xdr:col>8</xdr:col>
      <xdr:colOff>171450</xdr:colOff>
      <xdr:row>66</xdr:row>
      <xdr:rowOff>143510</xdr:rowOff>
    </xdr:to>
    <xdr:sp macro="[0]!InfoClick" textlink="">
      <xdr:nvSpPr>
        <xdr:cNvPr id="42" name="OvalInfoSIR">
          <a:extLst>
            <a:ext uri="{FF2B5EF4-FFF2-40B4-BE49-F238E27FC236}">
              <a16:creationId xmlns:a16="http://schemas.microsoft.com/office/drawing/2014/main" id="{BBEB2D47-A6CB-4DB6-A4FB-F9EAA1EE0E2F}"/>
            </a:ext>
          </a:extLst>
        </xdr:cNvPr>
        <xdr:cNvSpPr>
          <a:spLocks noChangeAspect="1"/>
        </xdr:cNvSpPr>
      </xdr:nvSpPr>
      <xdr:spPr>
        <a:xfrm>
          <a:off x="7505700" y="12674600"/>
          <a:ext cx="148590" cy="1181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4</xdr:col>
      <xdr:colOff>586740</xdr:colOff>
      <xdr:row>5</xdr:row>
      <xdr:rowOff>34290</xdr:rowOff>
    </xdr:from>
    <xdr:to>
      <xdr:col>4</xdr:col>
      <xdr:colOff>720090</xdr:colOff>
      <xdr:row>5</xdr:row>
      <xdr:rowOff>156210</xdr:rowOff>
    </xdr:to>
    <xdr:sp macro="[0]!InfoClick" textlink="">
      <xdr:nvSpPr>
        <xdr:cNvPr id="2" name="Oval 1">
          <a:extLst>
            <a:ext uri="{FF2B5EF4-FFF2-40B4-BE49-F238E27FC236}">
              <a16:creationId xmlns:a16="http://schemas.microsoft.com/office/drawing/2014/main" id="{00000000-0008-0000-0100-000002000000}"/>
            </a:ext>
          </a:extLst>
        </xdr:cNvPr>
        <xdr:cNvSpPr>
          <a:spLocks noChangeAspect="1"/>
        </xdr:cNvSpPr>
      </xdr:nvSpPr>
      <xdr:spPr>
        <a:xfrm>
          <a:off x="2827020" y="1687830"/>
          <a:ext cx="116205" cy="12192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14</xdr:col>
      <xdr:colOff>228600</xdr:colOff>
      <xdr:row>10</xdr:row>
      <xdr:rowOff>515037</xdr:rowOff>
    </xdr:from>
    <xdr:to>
      <xdr:col>17</xdr:col>
      <xdr:colOff>284059</xdr:colOff>
      <xdr:row>17</xdr:row>
      <xdr:rowOff>80863</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553700" y="3172512"/>
          <a:ext cx="2466976" cy="1137451"/>
        </a:xfrm>
        <a:prstGeom prst="rect">
          <a:avLst/>
        </a:prstGeom>
      </xdr:spPr>
    </xdr:pic>
    <xdr:clientData/>
  </xdr:twoCellAnchor>
  <xdr:twoCellAnchor>
    <xdr:from>
      <xdr:col>0</xdr:col>
      <xdr:colOff>161924</xdr:colOff>
      <xdr:row>0</xdr:row>
      <xdr:rowOff>28575</xdr:rowOff>
    </xdr:from>
    <xdr:to>
      <xdr:col>17</xdr:col>
      <xdr:colOff>552451</xdr:colOff>
      <xdr:row>3</xdr:row>
      <xdr:rowOff>83132</xdr:rowOff>
    </xdr:to>
    <xdr:grpSp>
      <xdr:nvGrpSpPr>
        <xdr:cNvPr id="16" name="Group 15">
          <a:extLst>
            <a:ext uri="{FF2B5EF4-FFF2-40B4-BE49-F238E27FC236}">
              <a16:creationId xmlns:a16="http://schemas.microsoft.com/office/drawing/2014/main" id="{00000000-0008-0000-0100-000010000000}"/>
            </a:ext>
          </a:extLst>
        </xdr:cNvPr>
        <xdr:cNvGrpSpPr/>
      </xdr:nvGrpSpPr>
      <xdr:grpSpPr>
        <a:xfrm>
          <a:off x="161924" y="28575"/>
          <a:ext cx="13767860" cy="1053624"/>
          <a:chOff x="1" y="0"/>
          <a:chExt cx="9972999" cy="898266"/>
        </a:xfrm>
      </xdr:grpSpPr>
      <xdr:sp macro="" textlink="">
        <xdr:nvSpPr>
          <xdr:cNvPr id="17" name="Rectangle: Rounded Corners 16">
            <a:extLst>
              <a:ext uri="{FF2B5EF4-FFF2-40B4-BE49-F238E27FC236}">
                <a16:creationId xmlns:a16="http://schemas.microsoft.com/office/drawing/2014/main" id="{00000000-0008-0000-0100-000011000000}"/>
              </a:ext>
            </a:extLst>
          </xdr:cNvPr>
          <xdr:cNvSpPr/>
        </xdr:nvSpPr>
        <xdr:spPr>
          <a:xfrm>
            <a:off x="1" y="0"/>
            <a:ext cx="9972999" cy="80962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b="8183"/>
          <a:stretch/>
        </xdr:blipFill>
        <xdr:spPr>
          <a:xfrm>
            <a:off x="123825" y="179980"/>
            <a:ext cx="1247775" cy="442041"/>
          </a:xfrm>
          <a:prstGeom prst="rect">
            <a:avLst/>
          </a:prstGeom>
        </xdr:spPr>
      </xdr:pic>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backgroundRemoval t="10000" b="90000" l="10000" r="90000"/>
                    </a14:imgEffect>
                  </a14:imgLayer>
                </a14:imgProps>
              </a:ext>
            </a:extLst>
          </a:blip>
          <a:stretch>
            <a:fillRect/>
          </a:stretch>
        </xdr:blipFill>
        <xdr:spPr>
          <a:xfrm>
            <a:off x="4393985" y="24559"/>
            <a:ext cx="1143000" cy="873707"/>
          </a:xfrm>
          <a:prstGeom prst="rect">
            <a:avLst/>
          </a:prstGeom>
        </xdr:spPr>
      </xdr:pic>
      <xdr:sp macro="" textlink="">
        <xdr:nvSpPr>
          <xdr:cNvPr id="20" name="TextBox 19">
            <a:extLst>
              <a:ext uri="{FF2B5EF4-FFF2-40B4-BE49-F238E27FC236}">
                <a16:creationId xmlns:a16="http://schemas.microsoft.com/office/drawing/2014/main" id="{00000000-0008-0000-0100-000014000000}"/>
              </a:ext>
            </a:extLst>
          </xdr:cNvPr>
          <xdr:cNvSpPr txBox="1"/>
        </xdr:nvSpPr>
        <xdr:spPr>
          <a:xfrm>
            <a:off x="1613966" y="79031"/>
            <a:ext cx="3924300" cy="742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a:solidFill>
                  <a:schemeClr val="bg1"/>
                </a:solidFill>
              </a:rPr>
              <a:t>Belimo Energy Valve
Coil </a:t>
            </a:r>
            <a:r>
              <a:rPr lang="el-GR" sz="2400">
                <a:solidFill>
                  <a:schemeClr val="bg1"/>
                </a:solidFill>
              </a:rPr>
              <a:t>Δ</a:t>
            </a:r>
            <a:r>
              <a:rPr lang="en-US" sz="2400">
                <a:solidFill>
                  <a:schemeClr val="bg1"/>
                </a:solidFill>
              </a:rPr>
              <a:t>T Savings Estimator</a:t>
            </a:r>
            <a:endParaRPr lang="en-US" sz="1800">
              <a:solidFill>
                <a:schemeClr val="bg1"/>
              </a:solidFill>
            </a:endParaRPr>
          </a:p>
        </xdr:txBody>
      </xdr:sp>
    </xdr:grpSp>
    <xdr:clientData/>
  </xdr:twoCellAnchor>
  <xdr:twoCellAnchor>
    <xdr:from>
      <xdr:col>0</xdr:col>
      <xdr:colOff>171449</xdr:colOff>
      <xdr:row>3</xdr:row>
      <xdr:rowOff>85725</xdr:rowOff>
    </xdr:from>
    <xdr:to>
      <xdr:col>9</xdr:col>
      <xdr:colOff>838199</xdr:colOff>
      <xdr:row>3</xdr:row>
      <xdr:rowOff>378018</xdr:rowOff>
    </xdr:to>
    <xdr:sp macro="" textlink="">
      <xdr:nvSpPr>
        <xdr:cNvPr id="6" name="HdrCoilDesignData">
          <a:extLst>
            <a:ext uri="{FF2B5EF4-FFF2-40B4-BE49-F238E27FC236}">
              <a16:creationId xmlns:a16="http://schemas.microsoft.com/office/drawing/2014/main" id="{00000000-0008-0000-0100-000006000000}"/>
            </a:ext>
          </a:extLst>
        </xdr:cNvPr>
        <xdr:cNvSpPr/>
      </xdr:nvSpPr>
      <xdr:spPr>
        <a:xfrm>
          <a:off x="171449" y="1076325"/>
          <a:ext cx="7172325" cy="292293"/>
        </a:xfrm>
        <a:prstGeom prst="roundRect">
          <a:avLst/>
        </a:prstGeom>
        <a:gradFill flip="none" rotWithShape="1">
          <a:gsLst>
            <a:gs pos="0">
              <a:srgbClr val="FF6600"/>
            </a:gs>
            <a:gs pos="70000">
              <a:srgbClr val="FF6600"/>
            </a:gs>
            <a:gs pos="100000">
              <a:srgbClr val="FF6600"/>
            </a:gs>
          </a:gsLst>
          <a:lin ang="18900000" scaled="1"/>
          <a:tileRect/>
        </a:gradFill>
        <a:ln/>
        <a:scene3d>
          <a:camera prst="orthographicFront"/>
          <a:lightRig rig="threePt" dir="t"/>
        </a:scene3d>
        <a:sp3d>
          <a:bevel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Coil Design Data</a:t>
          </a:r>
        </a:p>
      </xdr:txBody>
    </xdr:sp>
    <xdr:clientData/>
  </xdr:twoCellAnchor>
  <xdr:twoCellAnchor>
    <xdr:from>
      <xdr:col>0</xdr:col>
      <xdr:colOff>161924</xdr:colOff>
      <xdr:row>10</xdr:row>
      <xdr:rowOff>142875</xdr:rowOff>
    </xdr:from>
    <xdr:to>
      <xdr:col>17</xdr:col>
      <xdr:colOff>800099</xdr:colOff>
      <xdr:row>10</xdr:row>
      <xdr:rowOff>435168</xdr:rowOff>
    </xdr:to>
    <xdr:sp macro="" textlink="">
      <xdr:nvSpPr>
        <xdr:cNvPr id="7" name="HdrCoilDesignPerformance">
          <a:extLst>
            <a:ext uri="{FF2B5EF4-FFF2-40B4-BE49-F238E27FC236}">
              <a16:creationId xmlns:a16="http://schemas.microsoft.com/office/drawing/2014/main" id="{00000000-0008-0000-0100-000007000000}"/>
            </a:ext>
          </a:extLst>
        </xdr:cNvPr>
        <xdr:cNvSpPr/>
      </xdr:nvSpPr>
      <xdr:spPr>
        <a:xfrm>
          <a:off x="161924" y="2800350"/>
          <a:ext cx="12906375" cy="292293"/>
        </a:xfrm>
        <a:prstGeom prst="roundRect">
          <a:avLst/>
        </a:prstGeom>
        <a:gradFill flip="none" rotWithShape="1">
          <a:gsLst>
            <a:gs pos="0">
              <a:srgbClr val="FF6600"/>
            </a:gs>
            <a:gs pos="70000">
              <a:srgbClr val="FF6600"/>
            </a:gs>
            <a:gs pos="100000">
              <a:srgbClr val="FF6600"/>
            </a:gs>
          </a:gsLst>
          <a:lin ang="18900000" scaled="1"/>
          <a:tileRect/>
        </a:gradFill>
        <a:ln/>
        <a:scene3d>
          <a:camera prst="orthographicFront"/>
          <a:lightRig rig="threePt" dir="t"/>
        </a:scene3d>
        <a:sp3d>
          <a:bevel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Coil Design Performance Data</a:t>
          </a:r>
        </a:p>
      </xdr:txBody>
    </xdr:sp>
    <xdr:clientData/>
  </xdr:twoCellAnchor>
  <xdr:twoCellAnchor editAs="oneCell">
    <xdr:from>
      <xdr:col>4</xdr:col>
      <xdr:colOff>571500</xdr:colOff>
      <xdr:row>4</xdr:row>
      <xdr:rowOff>30480</xdr:rowOff>
    </xdr:from>
    <xdr:to>
      <xdr:col>4</xdr:col>
      <xdr:colOff>720090</xdr:colOff>
      <xdr:row>4</xdr:row>
      <xdr:rowOff>156210</xdr:rowOff>
    </xdr:to>
    <xdr:sp macro="[0]!InfoClick" textlink="">
      <xdr:nvSpPr>
        <xdr:cNvPr id="4" name="Oval 3">
          <a:extLst>
            <a:ext uri="{FF2B5EF4-FFF2-40B4-BE49-F238E27FC236}">
              <a16:creationId xmlns:a16="http://schemas.microsoft.com/office/drawing/2014/main" id="{00000000-0008-0000-0100-000004000000}"/>
            </a:ext>
          </a:extLst>
        </xdr:cNvPr>
        <xdr:cNvSpPr>
          <a:spLocks noChangeAspect="1"/>
        </xdr:cNvSpPr>
      </xdr:nvSpPr>
      <xdr:spPr>
        <a:xfrm>
          <a:off x="2811780" y="1501140"/>
          <a:ext cx="140970" cy="13335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absolute">
    <xdr:from>
      <xdr:col>15</xdr:col>
      <xdr:colOff>54610</xdr:colOff>
      <xdr:row>4</xdr:row>
      <xdr:rowOff>147862</xdr:rowOff>
    </xdr:from>
    <xdr:to>
      <xdr:col>16</xdr:col>
      <xdr:colOff>1134957</xdr:colOff>
      <xdr:row>7</xdr:row>
      <xdr:rowOff>3453</xdr:rowOff>
    </xdr:to>
    <xdr:pic macro="[0]!Sheet52.PDFActiveSheet">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1586210" y="1618522"/>
          <a:ext cx="1165860" cy="397246"/>
        </a:xfrm>
        <a:prstGeom prst="rect">
          <a:avLst/>
        </a:prstGeom>
      </xdr:spPr>
    </xdr:pic>
    <xdr:clientData fLocksWithSheet="0" fPrintsWithSheet="0"/>
  </xdr:twoCellAnchor>
  <xdr:twoCellAnchor editAs="oneCell">
    <xdr:from>
      <xdr:col>16</xdr:col>
      <xdr:colOff>274320</xdr:colOff>
      <xdr:row>7</xdr:row>
      <xdr:rowOff>137160</xdr:rowOff>
    </xdr:from>
    <xdr:to>
      <xdr:col>16</xdr:col>
      <xdr:colOff>1401066</xdr:colOff>
      <xdr:row>9</xdr:row>
      <xdr:rowOff>79263</xdr:rowOff>
    </xdr:to>
    <xdr:pic>
      <xdr:nvPicPr>
        <xdr:cNvPr id="15" name="Picture 14">
          <a:hlinkClick xmlns:r="http://schemas.openxmlformats.org/officeDocument/2006/relationships" r:id="rId6"/>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1628120" y="2156460"/>
          <a:ext cx="1108966" cy="330723"/>
        </a:xfrm>
        <a:prstGeom prst="rect">
          <a:avLst/>
        </a:prstGeom>
      </xdr:spPr>
    </xdr:pic>
    <xdr:clientData fPrintsWithSheet="0"/>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0</xdr:row>
      <xdr:rowOff>142875</xdr:rowOff>
    </xdr:from>
    <xdr:to>
      <xdr:col>23</xdr:col>
      <xdr:colOff>28575</xdr:colOff>
      <xdr:row>2</xdr:row>
      <xdr:rowOff>619125</xdr:rowOff>
    </xdr:to>
    <xdr:grpSp>
      <xdr:nvGrpSpPr>
        <xdr:cNvPr id="2" name="Group 25">
          <a:extLst>
            <a:ext uri="{FF2B5EF4-FFF2-40B4-BE49-F238E27FC236}">
              <a16:creationId xmlns:a16="http://schemas.microsoft.com/office/drawing/2014/main" id="{00000000-0008-0000-0200-000002000000}"/>
            </a:ext>
          </a:extLst>
        </xdr:cNvPr>
        <xdr:cNvGrpSpPr/>
      </xdr:nvGrpSpPr>
      <xdr:grpSpPr>
        <a:xfrm>
          <a:off x="251460" y="142875"/>
          <a:ext cx="13157835" cy="1078230"/>
          <a:chOff x="5640" y="9525"/>
          <a:chExt cx="6191250" cy="873707"/>
        </a:xfrm>
      </xdr:grpSpPr>
      <xdr:sp macro="" textlink="">
        <xdr:nvSpPr>
          <xdr:cNvPr id="3" name="Rectangle: Rounded Corners 23">
            <a:extLst>
              <a:ext uri="{FF2B5EF4-FFF2-40B4-BE49-F238E27FC236}">
                <a16:creationId xmlns:a16="http://schemas.microsoft.com/office/drawing/2014/main" id="{00000000-0008-0000-0200-000003000000}"/>
              </a:ext>
            </a:extLst>
          </xdr:cNvPr>
          <xdr:cNvSpPr/>
        </xdr:nvSpPr>
        <xdr:spPr>
          <a:xfrm>
            <a:off x="5640" y="34036"/>
            <a:ext cx="6191250" cy="80962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4" name="Picture 1">
            <a:extLst>
              <a:ext uri="{FF2B5EF4-FFF2-40B4-BE49-F238E27FC236}">
                <a16:creationId xmlns:a16="http://schemas.microsoft.com/office/drawing/2014/main" id="{00000000-0008-0000-0200-000004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8183"/>
          <a:stretch/>
        </xdr:blipFill>
        <xdr:spPr>
          <a:xfrm>
            <a:off x="123825" y="179980"/>
            <a:ext cx="961476" cy="442041"/>
          </a:xfrm>
          <a:prstGeom prst="rect">
            <a:avLst/>
          </a:prstGeom>
        </xdr:spPr>
      </xdr:pic>
      <xdr:pic>
        <xdr:nvPicPr>
          <xdr:cNvPr id="5" name="Picture 9">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2">
            <a:extLst>
              <a:ext uri="{BEBA8EAE-BF5A-486C-A8C5-ECC9F3942E4B}">
                <a14:imgProps xmlns:a14="http://schemas.microsoft.com/office/drawing/2010/main">
                  <a14:imgLayer r:embed="rId3">
                    <a14:imgEffect>
                      <a14:backgroundRemoval t="10000" b="90000" l="10000" r="90000"/>
                    </a14:imgEffect>
                  </a14:imgLayer>
                </a14:imgProps>
              </a:ext>
            </a:extLst>
          </a:blip>
          <a:stretch>
            <a:fillRect/>
          </a:stretch>
        </xdr:blipFill>
        <xdr:spPr>
          <a:xfrm>
            <a:off x="4919683" y="9525"/>
            <a:ext cx="1026332" cy="873707"/>
          </a:xfrm>
          <a:prstGeom prst="rect">
            <a:avLst/>
          </a:prstGeom>
        </xdr:spPr>
      </xdr:pic>
      <xdr:sp macro="" textlink="">
        <xdr:nvSpPr>
          <xdr:cNvPr id="6" name="TextBox 24">
            <a:extLst>
              <a:ext uri="{FF2B5EF4-FFF2-40B4-BE49-F238E27FC236}">
                <a16:creationId xmlns:a16="http://schemas.microsoft.com/office/drawing/2014/main" id="{00000000-0008-0000-0200-000006000000}"/>
              </a:ext>
            </a:extLst>
          </xdr:cNvPr>
          <xdr:cNvSpPr txBox="1"/>
        </xdr:nvSpPr>
        <xdr:spPr>
          <a:xfrm>
            <a:off x="1416815" y="130884"/>
            <a:ext cx="1482854" cy="605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a:solidFill>
                  <a:schemeClr val="bg1"/>
                </a:solidFill>
              </a:rPr>
              <a:t>Belimo Energy Valve
Coil </a:t>
            </a:r>
            <a:r>
              <a:rPr lang="el-GR" sz="2400">
                <a:solidFill>
                  <a:schemeClr val="bg1"/>
                </a:solidFill>
              </a:rPr>
              <a:t>Δ</a:t>
            </a:r>
            <a:r>
              <a:rPr lang="en-US" sz="2400">
                <a:solidFill>
                  <a:schemeClr val="bg1"/>
                </a:solidFill>
              </a:rPr>
              <a:t>T Savings Estimator</a:t>
            </a:r>
            <a:endParaRPr lang="en-US" sz="1800">
              <a:solidFill>
                <a:schemeClr val="bg1"/>
              </a:solidFill>
            </a:endParaRP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9</xdr:col>
      <xdr:colOff>95250</xdr:colOff>
      <xdr:row>1</xdr:row>
      <xdr:rowOff>28575</xdr:rowOff>
    </xdr:from>
    <xdr:to>
      <xdr:col>16</xdr:col>
      <xdr:colOff>400050</xdr:colOff>
      <xdr:row>18</xdr:row>
      <xdr:rowOff>19050</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428625</xdr:colOff>
      <xdr:row>1</xdr:row>
      <xdr:rowOff>57150</xdr:rowOff>
    </xdr:from>
    <xdr:to>
      <xdr:col>8</xdr:col>
      <xdr:colOff>123825</xdr:colOff>
      <xdr:row>18</xdr:row>
      <xdr:rowOff>47625</xdr:rowOff>
    </xdr:to>
    <xdr:graphicFrame macro="">
      <xdr:nvGraphicFramePr>
        <xdr:cNvPr id="3" name="Chart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400050</xdr:colOff>
      <xdr:row>21</xdr:row>
      <xdr:rowOff>28575</xdr:rowOff>
    </xdr:from>
    <xdr:to>
      <xdr:col>8</xdr:col>
      <xdr:colOff>95250</xdr:colOff>
      <xdr:row>38</xdr:row>
      <xdr:rowOff>19050</xdr:rowOff>
    </xdr:to>
    <xdr:graphicFrame macro="">
      <xdr:nvGraphicFramePr>
        <xdr:cNvPr id="6" name="Chart 5">
          <a:extLst>
            <a:ext uri="{FF2B5EF4-FFF2-40B4-BE49-F238E27FC236}">
              <a16:creationId xmlns:a16="http://schemas.microsoft.com/office/drawing/2014/main"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114300</xdr:colOff>
      <xdr:row>21</xdr:row>
      <xdr:rowOff>28575</xdr:rowOff>
    </xdr:from>
    <xdr:to>
      <xdr:col>16</xdr:col>
      <xdr:colOff>419100</xdr:colOff>
      <xdr:row>38</xdr:row>
      <xdr:rowOff>19050</xdr:rowOff>
    </xdr:to>
    <xdr:graphicFrame macro="">
      <xdr:nvGraphicFramePr>
        <xdr:cNvPr id="7" name="Chart 6">
          <a:extLst>
            <a:ext uri="{FF2B5EF4-FFF2-40B4-BE49-F238E27FC236}">
              <a16:creationId xmlns:a16="http://schemas.microsoft.com/office/drawing/2014/main" id="{00000000-0008-0000-03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161290</xdr:colOff>
      <xdr:row>0</xdr:row>
      <xdr:rowOff>27940</xdr:rowOff>
    </xdr:from>
    <xdr:to>
      <xdr:col>15</xdr:col>
      <xdr:colOff>371477</xdr:colOff>
      <xdr:row>6</xdr:row>
      <xdr:rowOff>75724</xdr:rowOff>
    </xdr:to>
    <xdr:grpSp>
      <xdr:nvGrpSpPr>
        <xdr:cNvPr id="2" name="BannerGroupResults">
          <a:extLst>
            <a:ext uri="{FF2B5EF4-FFF2-40B4-BE49-F238E27FC236}">
              <a16:creationId xmlns:a16="http://schemas.microsoft.com/office/drawing/2014/main" id="{5A93103C-1268-417C-AE28-F82461A8FF4C}"/>
            </a:ext>
          </a:extLst>
        </xdr:cNvPr>
        <xdr:cNvGrpSpPr/>
      </xdr:nvGrpSpPr>
      <xdr:grpSpPr>
        <a:xfrm>
          <a:off x="161290" y="27940"/>
          <a:ext cx="13202287" cy="1053624"/>
          <a:chOff x="1" y="0"/>
          <a:chExt cx="9972999" cy="898266"/>
        </a:xfrm>
      </xdr:grpSpPr>
      <xdr:sp macro="" textlink="">
        <xdr:nvSpPr>
          <xdr:cNvPr id="3" name="Rectangle: Rounded Corners 2">
            <a:extLst>
              <a:ext uri="{FF2B5EF4-FFF2-40B4-BE49-F238E27FC236}">
                <a16:creationId xmlns:a16="http://schemas.microsoft.com/office/drawing/2014/main" id="{4BA00BE5-0D83-9A35-65A6-5DCAA387B8EA}"/>
              </a:ext>
            </a:extLst>
          </xdr:cNvPr>
          <xdr:cNvSpPr/>
        </xdr:nvSpPr>
        <xdr:spPr>
          <a:xfrm>
            <a:off x="1" y="0"/>
            <a:ext cx="9972999" cy="80962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4" name="Picture 3">
            <a:extLst>
              <a:ext uri="{FF2B5EF4-FFF2-40B4-BE49-F238E27FC236}">
                <a16:creationId xmlns:a16="http://schemas.microsoft.com/office/drawing/2014/main" id="{0E7A552B-A64C-5C63-5948-3B4A1588D3C9}"/>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8183"/>
          <a:stretch/>
        </xdr:blipFill>
        <xdr:spPr>
          <a:xfrm>
            <a:off x="123825" y="179980"/>
            <a:ext cx="1247775" cy="442041"/>
          </a:xfrm>
          <a:prstGeom prst="rect">
            <a:avLst/>
          </a:prstGeom>
        </xdr:spPr>
      </xdr:pic>
      <xdr:pic>
        <xdr:nvPicPr>
          <xdr:cNvPr id="5" name="Picture 4">
            <a:extLst>
              <a:ext uri="{FF2B5EF4-FFF2-40B4-BE49-F238E27FC236}">
                <a16:creationId xmlns:a16="http://schemas.microsoft.com/office/drawing/2014/main" id="{CF50B57D-1716-370B-A722-822DAF103747}"/>
              </a:ext>
            </a:extLst>
          </xdr:cNvPr>
          <xdr:cNvPicPr>
            <a:picLocks noChangeAspect="1"/>
          </xdr:cNvPicPr>
        </xdr:nvPicPr>
        <xdr:blipFill>
          <a:blip xmlns:r="http://schemas.openxmlformats.org/officeDocument/2006/relationships" r:embed="rId2">
            <a:extLst>
              <a:ext uri="{BEBA8EAE-BF5A-486C-A8C5-ECC9F3942E4B}">
                <a14:imgProps xmlns:a14="http://schemas.microsoft.com/office/drawing/2010/main">
                  <a14:imgLayer r:embed="rId3">
                    <a14:imgEffect>
                      <a14:backgroundRemoval t="10000" b="90000" l="10000" r="90000"/>
                    </a14:imgEffect>
                  </a14:imgLayer>
                </a14:imgProps>
              </a:ext>
            </a:extLst>
          </a:blip>
          <a:stretch>
            <a:fillRect/>
          </a:stretch>
        </xdr:blipFill>
        <xdr:spPr>
          <a:xfrm>
            <a:off x="4393985" y="24559"/>
            <a:ext cx="1143000" cy="873707"/>
          </a:xfrm>
          <a:prstGeom prst="rect">
            <a:avLst/>
          </a:prstGeom>
        </xdr:spPr>
      </xdr:pic>
      <xdr:sp macro="" textlink="">
        <xdr:nvSpPr>
          <xdr:cNvPr id="6" name="TextBox 5">
            <a:extLst>
              <a:ext uri="{FF2B5EF4-FFF2-40B4-BE49-F238E27FC236}">
                <a16:creationId xmlns:a16="http://schemas.microsoft.com/office/drawing/2014/main" id="{95A1E5F8-5739-80D6-711C-8C7833D25E3E}"/>
              </a:ext>
            </a:extLst>
          </xdr:cNvPr>
          <xdr:cNvSpPr txBox="1"/>
        </xdr:nvSpPr>
        <xdr:spPr>
          <a:xfrm>
            <a:off x="1613966" y="79031"/>
            <a:ext cx="3924300" cy="742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a:solidFill>
                  <a:schemeClr val="bg1"/>
                </a:solidFill>
              </a:rPr>
              <a:t>Belimo Energy Valve
Coil </a:t>
            </a:r>
            <a:r>
              <a:rPr lang="el-GR" sz="2400">
                <a:solidFill>
                  <a:schemeClr val="bg1"/>
                </a:solidFill>
              </a:rPr>
              <a:t>Δ</a:t>
            </a:r>
            <a:r>
              <a:rPr lang="en-US" sz="2400">
                <a:solidFill>
                  <a:schemeClr val="bg1"/>
                </a:solidFill>
              </a:rPr>
              <a:t>T Savings Estimator</a:t>
            </a:r>
            <a:endParaRPr lang="en-US" sz="1800">
              <a:solidFill>
                <a:schemeClr val="bg1"/>
              </a:solidFill>
            </a:endParaRPr>
          </a:p>
        </xdr:txBody>
      </xdr:sp>
    </xdr:grpSp>
    <xdr:clientData/>
  </xdr:twoCellAnchor>
  <xdr:twoCellAnchor>
    <xdr:from>
      <xdr:col>8</xdr:col>
      <xdr:colOff>15240</xdr:colOff>
      <xdr:row>18</xdr:row>
      <xdr:rowOff>160020</xdr:rowOff>
    </xdr:from>
    <xdr:to>
      <xdr:col>14</xdr:col>
      <xdr:colOff>294429</xdr:colOff>
      <xdr:row>34</xdr:row>
      <xdr:rowOff>7620</xdr:rowOff>
    </xdr:to>
    <xdr:graphicFrame macro="">
      <xdr:nvGraphicFramePr>
        <xdr:cNvPr id="7" name="ChartPumpingCost">
          <a:extLst>
            <a:ext uri="{FF2B5EF4-FFF2-40B4-BE49-F238E27FC236}">
              <a16:creationId xmlns:a16="http://schemas.microsoft.com/office/drawing/2014/main" id="{84B8AB34-A791-4012-9588-BD81EAE9D8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twoCellAnchor>
  <xdr:twoCellAnchor>
    <xdr:from>
      <xdr:col>0</xdr:col>
      <xdr:colOff>184150</xdr:colOff>
      <xdr:row>38</xdr:row>
      <xdr:rowOff>114300</xdr:rowOff>
    </xdr:from>
    <xdr:to>
      <xdr:col>5</xdr:col>
      <xdr:colOff>1143000</xdr:colOff>
      <xdr:row>40</xdr:row>
      <xdr:rowOff>110067</xdr:rowOff>
    </xdr:to>
    <xdr:sp macro="" textlink="">
      <xdr:nvSpPr>
        <xdr:cNvPr id="8" name="HdrGreenhouseGas">
          <a:extLst>
            <a:ext uri="{FF2B5EF4-FFF2-40B4-BE49-F238E27FC236}">
              <a16:creationId xmlns:a16="http://schemas.microsoft.com/office/drawing/2014/main" id="{17DD8A89-BD6F-423C-9E0D-628CAA7A9840}"/>
            </a:ext>
          </a:extLst>
        </xdr:cNvPr>
        <xdr:cNvSpPr/>
      </xdr:nvSpPr>
      <xdr:spPr>
        <a:xfrm>
          <a:off x="184150" y="6576060"/>
          <a:ext cx="6772910" cy="331047"/>
        </a:xfrm>
        <a:prstGeom prst="roundRect">
          <a:avLst/>
        </a:prstGeom>
        <a:gradFill flip="none" rotWithShape="1">
          <a:gsLst>
            <a:gs pos="0">
              <a:srgbClr val="FF6600"/>
            </a:gs>
            <a:gs pos="70000">
              <a:srgbClr val="FF6600"/>
            </a:gs>
            <a:gs pos="100000">
              <a:srgbClr val="FF6600"/>
            </a:gs>
          </a:gsLst>
          <a:lin ang="18900000" scaled="1"/>
          <a:tileRect/>
        </a:gradFill>
        <a:ln/>
        <a:scene3d>
          <a:camera prst="orthographicFront"/>
          <a:lightRig rig="threePt" dir="t"/>
        </a:scene3d>
        <a:sp3d>
          <a:bevel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Greenhouse Gas Equivalents</a:t>
          </a:r>
        </a:p>
      </xdr:txBody>
    </xdr:sp>
    <xdr:clientData/>
  </xdr:twoCellAnchor>
  <xdr:twoCellAnchor>
    <xdr:from>
      <xdr:col>0</xdr:col>
      <xdr:colOff>603250</xdr:colOff>
      <xdr:row>8</xdr:row>
      <xdr:rowOff>7620</xdr:rowOff>
    </xdr:from>
    <xdr:to>
      <xdr:col>5</xdr:col>
      <xdr:colOff>737870</xdr:colOff>
      <xdr:row>9</xdr:row>
      <xdr:rowOff>144780</xdr:rowOff>
    </xdr:to>
    <xdr:sp macro="" textlink="">
      <xdr:nvSpPr>
        <xdr:cNvPr id="10" name="HdrBeforeAfter">
          <a:extLst>
            <a:ext uri="{FF2B5EF4-FFF2-40B4-BE49-F238E27FC236}">
              <a16:creationId xmlns:a16="http://schemas.microsoft.com/office/drawing/2014/main" id="{9FCB88E4-7B28-95CA-00BD-52CED1034943}"/>
            </a:ext>
          </a:extLst>
        </xdr:cNvPr>
        <xdr:cNvSpPr/>
      </xdr:nvSpPr>
      <xdr:spPr>
        <a:xfrm>
          <a:off x="603250" y="1356360"/>
          <a:ext cx="5948680" cy="304800"/>
        </a:xfrm>
        <a:prstGeom prst="roundRect">
          <a:avLst/>
        </a:prstGeom>
        <a:solidFill>
          <a:srgbClr val="FF6600"/>
        </a:solidFill>
        <a:ln>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0">
              <a:solidFill>
                <a:srgbClr val="FFFFFF"/>
              </a:solidFill>
              <a:latin typeface="HelveticaNeueLT Std Lt"/>
            </a:rPr>
            <a:t>Before &amp; After: Changing Your Delta-T</a:t>
          </a:r>
        </a:p>
      </xdr:txBody>
    </xdr:sp>
    <xdr:clientData/>
  </xdr:twoCellAnchor>
  <xdr:twoCellAnchor>
    <xdr:from>
      <xdr:col>0</xdr:col>
      <xdr:colOff>184150</xdr:colOff>
      <xdr:row>47</xdr:row>
      <xdr:rowOff>121920</xdr:rowOff>
    </xdr:from>
    <xdr:to>
      <xdr:col>6</xdr:col>
      <xdr:colOff>7620</xdr:colOff>
      <xdr:row>49</xdr:row>
      <xdr:rowOff>99060</xdr:rowOff>
    </xdr:to>
    <xdr:sp macro="" textlink="">
      <xdr:nvSpPr>
        <xdr:cNvPr id="11" name="HdrFinancialSummary">
          <a:extLst>
            <a:ext uri="{FF2B5EF4-FFF2-40B4-BE49-F238E27FC236}">
              <a16:creationId xmlns:a16="http://schemas.microsoft.com/office/drawing/2014/main" id="{502CB28B-2DC9-92BE-E507-51BDB87FD5E6}"/>
            </a:ext>
          </a:extLst>
        </xdr:cNvPr>
        <xdr:cNvSpPr/>
      </xdr:nvSpPr>
      <xdr:spPr>
        <a:xfrm>
          <a:off x="184150" y="8092440"/>
          <a:ext cx="6788150" cy="312420"/>
        </a:xfrm>
        <a:prstGeom prst="roundRect">
          <a:avLst/>
        </a:prstGeom>
        <a:solidFill>
          <a:srgbClr val="FF6600"/>
        </a:solidFill>
        <a:ln>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0">
              <a:solidFill>
                <a:srgbClr val="FFFFFF"/>
              </a:solidFill>
              <a:latin typeface="HelveticaNeueLT Std Lt"/>
            </a:rPr>
            <a:t>Financial Summary</a:t>
          </a:r>
        </a:p>
      </xdr:txBody>
    </xdr:sp>
    <xdr:clientData/>
  </xdr:twoCellAnchor>
  <xdr:twoCellAnchor>
    <xdr:from>
      <xdr:col>0</xdr:col>
      <xdr:colOff>184150</xdr:colOff>
      <xdr:row>56</xdr:row>
      <xdr:rowOff>0</xdr:rowOff>
    </xdr:from>
    <xdr:to>
      <xdr:col>6</xdr:col>
      <xdr:colOff>7620</xdr:colOff>
      <xdr:row>57</xdr:row>
      <xdr:rowOff>137160</xdr:rowOff>
    </xdr:to>
    <xdr:sp macro="" textlink="">
      <xdr:nvSpPr>
        <xdr:cNvPr id="12" name="HdrUtilityRebate">
          <a:extLst>
            <a:ext uri="{FF2B5EF4-FFF2-40B4-BE49-F238E27FC236}">
              <a16:creationId xmlns:a16="http://schemas.microsoft.com/office/drawing/2014/main" id="{DD2EA255-0A55-D8CC-FA24-ACE02406D0EC}"/>
            </a:ext>
          </a:extLst>
        </xdr:cNvPr>
        <xdr:cNvSpPr/>
      </xdr:nvSpPr>
      <xdr:spPr>
        <a:xfrm>
          <a:off x="184150" y="9479280"/>
          <a:ext cx="6788150" cy="304800"/>
        </a:xfrm>
        <a:prstGeom prst="roundRect">
          <a:avLst/>
        </a:prstGeom>
        <a:solidFill>
          <a:srgbClr val="FF6600"/>
        </a:solidFill>
        <a:ln>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0">
              <a:solidFill>
                <a:srgbClr val="FFFFFF"/>
              </a:solidFill>
              <a:latin typeface="HelveticaNeueLT Std Lt"/>
            </a:rPr>
            <a:t>Utility Rebate Support</a:t>
          </a:r>
        </a:p>
      </xdr:txBody>
    </xdr:sp>
    <xdr:clientData/>
  </xdr:twoCellAnchor>
  <xdr:twoCellAnchor editAs="oneCell">
    <xdr:from>
      <xdr:col>2</xdr:col>
      <xdr:colOff>924560</xdr:colOff>
      <xdr:row>34</xdr:row>
      <xdr:rowOff>160020</xdr:rowOff>
    </xdr:from>
    <xdr:to>
      <xdr:col>2</xdr:col>
      <xdr:colOff>1109980</xdr:colOff>
      <xdr:row>36</xdr:row>
      <xdr:rowOff>11430</xdr:rowOff>
    </xdr:to>
    <xdr:sp macro="[0]!InfoClick" textlink="">
      <xdr:nvSpPr>
        <xdr:cNvPr id="13" name="OvalSliderInfo">
          <a:extLst>
            <a:ext uri="{FF2B5EF4-FFF2-40B4-BE49-F238E27FC236}">
              <a16:creationId xmlns:a16="http://schemas.microsoft.com/office/drawing/2014/main" id="{47C6C68E-9CD4-49E5-840C-5F54ECA8D228}"/>
            </a:ext>
          </a:extLst>
        </xdr:cNvPr>
        <xdr:cNvSpPr>
          <a:spLocks noChangeAspect="1"/>
        </xdr:cNvSpPr>
      </xdr:nvSpPr>
      <xdr:spPr>
        <a:xfrm>
          <a:off x="3827780" y="5951220"/>
          <a:ext cx="185420" cy="18669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xdr:from>
      <xdr:col>0</xdr:col>
      <xdr:colOff>161290</xdr:colOff>
      <xdr:row>6</xdr:row>
      <xdr:rowOff>111760</xdr:rowOff>
    </xdr:from>
    <xdr:to>
      <xdr:col>5</xdr:col>
      <xdr:colOff>798830</xdr:colOff>
      <xdr:row>8</xdr:row>
      <xdr:rowOff>73660</xdr:rowOff>
    </xdr:to>
    <xdr:sp macro="" textlink="">
      <xdr:nvSpPr>
        <xdr:cNvPr id="9" name="HdrResultsHeader">
          <a:extLst>
            <a:ext uri="{FF2B5EF4-FFF2-40B4-BE49-F238E27FC236}">
              <a16:creationId xmlns:a16="http://schemas.microsoft.com/office/drawing/2014/main" id="{1A6D5557-1602-93A0-22C9-D87042AB9853}"/>
            </a:ext>
          </a:extLst>
        </xdr:cNvPr>
        <xdr:cNvSpPr/>
      </xdr:nvSpPr>
      <xdr:spPr>
        <a:xfrm>
          <a:off x="161290" y="1117600"/>
          <a:ext cx="6451600" cy="304800"/>
        </a:xfrm>
        <a:prstGeom prst="roundRect">
          <a:avLst/>
        </a:prstGeom>
        <a:solidFill>
          <a:srgbClr val="FF6600"/>
        </a:solidFill>
        <a:ln>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0">
              <a:solidFill>
                <a:srgbClr val="FFFFFF"/>
              </a:solidFill>
              <a:latin typeface="HelveticaNeueLT Std Lt"/>
            </a:rPr>
            <a:t>Your Energy Valve Savings</a:t>
          </a:r>
        </a:p>
      </xdr:txBody>
    </xdr:sp>
    <xdr:clientData/>
  </xdr:twoCellAnchor>
  <xdr:twoCellAnchor editAs="oneCell">
    <xdr:from>
      <xdr:col>2</xdr:col>
      <xdr:colOff>985521</xdr:colOff>
      <xdr:row>42</xdr:row>
      <xdr:rowOff>20320</xdr:rowOff>
    </xdr:from>
    <xdr:to>
      <xdr:col>2</xdr:col>
      <xdr:colOff>1121748</xdr:colOff>
      <xdr:row>42</xdr:row>
      <xdr:rowOff>157480</xdr:rowOff>
    </xdr:to>
    <xdr:sp macro="[0]!InfoClick" textlink="">
      <xdr:nvSpPr>
        <xdr:cNvPr id="14" name="OvalGHGInfo1">
          <a:extLst>
            <a:ext uri="{FF2B5EF4-FFF2-40B4-BE49-F238E27FC236}">
              <a16:creationId xmlns:a16="http://schemas.microsoft.com/office/drawing/2014/main" id="{6F2CC7F7-C950-4B35-805A-6EB03B687907}"/>
            </a:ext>
          </a:extLst>
        </xdr:cNvPr>
        <xdr:cNvSpPr>
          <a:spLocks noChangeAspect="1"/>
        </xdr:cNvSpPr>
      </xdr:nvSpPr>
      <xdr:spPr>
        <a:xfrm>
          <a:off x="3888741" y="7152640"/>
          <a:ext cx="136227"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2</xdr:col>
      <xdr:colOff>985521</xdr:colOff>
      <xdr:row>43</xdr:row>
      <xdr:rowOff>43180</xdr:rowOff>
    </xdr:from>
    <xdr:to>
      <xdr:col>2</xdr:col>
      <xdr:colOff>1121748</xdr:colOff>
      <xdr:row>44</xdr:row>
      <xdr:rowOff>12700</xdr:rowOff>
    </xdr:to>
    <xdr:sp macro="[0]!InfoClick" textlink="">
      <xdr:nvSpPr>
        <xdr:cNvPr id="15" name="OvalGHGInfo2">
          <a:extLst>
            <a:ext uri="{FF2B5EF4-FFF2-40B4-BE49-F238E27FC236}">
              <a16:creationId xmlns:a16="http://schemas.microsoft.com/office/drawing/2014/main" id="{ECD392E9-2C37-4253-A12E-28ED8330E594}"/>
            </a:ext>
          </a:extLst>
        </xdr:cNvPr>
        <xdr:cNvSpPr>
          <a:spLocks noChangeAspect="1"/>
        </xdr:cNvSpPr>
      </xdr:nvSpPr>
      <xdr:spPr>
        <a:xfrm>
          <a:off x="3888741" y="7343140"/>
          <a:ext cx="136227"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2</xdr:col>
      <xdr:colOff>985521</xdr:colOff>
      <xdr:row>44</xdr:row>
      <xdr:rowOff>43180</xdr:rowOff>
    </xdr:from>
    <xdr:to>
      <xdr:col>2</xdr:col>
      <xdr:colOff>1121748</xdr:colOff>
      <xdr:row>45</xdr:row>
      <xdr:rowOff>12700</xdr:rowOff>
    </xdr:to>
    <xdr:sp macro="[0]!InfoClick" textlink="">
      <xdr:nvSpPr>
        <xdr:cNvPr id="16" name="OvalGHGInfo3">
          <a:extLst>
            <a:ext uri="{FF2B5EF4-FFF2-40B4-BE49-F238E27FC236}">
              <a16:creationId xmlns:a16="http://schemas.microsoft.com/office/drawing/2014/main" id="{408F4593-B5DF-48E4-9C75-0ADE17861A9F}"/>
            </a:ext>
          </a:extLst>
        </xdr:cNvPr>
        <xdr:cNvSpPr>
          <a:spLocks noChangeAspect="1"/>
        </xdr:cNvSpPr>
      </xdr:nvSpPr>
      <xdr:spPr>
        <a:xfrm>
          <a:off x="3888741" y="7510780"/>
          <a:ext cx="136227"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mc:AlternateContent xmlns:mc="http://schemas.openxmlformats.org/markup-compatibility/2006">
    <mc:Choice xmlns:a14="http://schemas.microsoft.com/office/drawing/2010/main" Requires="a14">
      <xdr:twoCellAnchor>
        <xdr:from>
          <xdr:col>1</xdr:col>
          <xdr:colOff>0</xdr:colOff>
          <xdr:row>35</xdr:row>
          <xdr:rowOff>0</xdr:rowOff>
        </xdr:from>
        <xdr:to>
          <xdr:col>1</xdr:col>
          <xdr:colOff>1493520</xdr:colOff>
          <xdr:row>36</xdr:row>
          <xdr:rowOff>99060</xdr:rowOff>
        </xdr:to>
        <xdr:sp macro="" textlink="">
          <xdr:nvSpPr>
            <xdr:cNvPr id="1026" name="SpinButton1" hidden="1">
              <a:extLst>
                <a:ext uri="{63B3BB69-23CF-44E3-9099-C40C66FF867C}">
                  <a14:compatExt spid="_x0000_s1026"/>
                </a:ext>
                <a:ext uri="{FF2B5EF4-FFF2-40B4-BE49-F238E27FC236}">
                  <a16:creationId xmlns:a16="http://schemas.microsoft.com/office/drawing/2014/main" id="{00000000-0008-0000-0500-000002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1287780</xdr:colOff>
      <xdr:row>20</xdr:row>
      <xdr:rowOff>123824</xdr:rowOff>
    </xdr:from>
    <xdr:to>
      <xdr:col>2</xdr:col>
      <xdr:colOff>3448050</xdr:colOff>
      <xdr:row>23</xdr:row>
      <xdr:rowOff>61911</xdr:rowOff>
    </xdr:to>
    <xdr:sp macro="" textlink="">
      <xdr:nvSpPr>
        <xdr:cNvPr id="2" name="Rounded Rectangle 1">
          <a:extLst>
            <a:ext uri="{FF2B5EF4-FFF2-40B4-BE49-F238E27FC236}">
              <a16:creationId xmlns:a16="http://schemas.microsoft.com/office/drawing/2014/main" id="{00000000-0008-0000-0400-000002000000}"/>
            </a:ext>
          </a:extLst>
        </xdr:cNvPr>
        <xdr:cNvSpPr/>
      </xdr:nvSpPr>
      <xdr:spPr bwMode="auto">
        <a:xfrm flipH="1">
          <a:off x="4278630" y="3695699"/>
          <a:ext cx="2160270" cy="452437"/>
        </a:xfrm>
        <a:prstGeom prst="roundRect">
          <a:avLst/>
        </a:prstGeom>
        <a:gradFill flip="none" rotWithShape="1">
          <a:gsLst>
            <a:gs pos="0">
              <a:srgbClr val="FF6600"/>
            </a:gs>
            <a:gs pos="70000">
              <a:srgbClr val="FF6600"/>
            </a:gs>
            <a:gs pos="100000">
              <a:srgbClr val="FF6600"/>
            </a:gs>
          </a:gsLst>
          <a:lin ang="18900000" scaled="1"/>
          <a:tileRect/>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marL="0" indent="0" algn="ctr" rtl="0"/>
          <a:r>
            <a:rPr lang="en-US" sz="1100" b="1" i="0" baseline="0">
              <a:solidFill>
                <a:schemeClr val="lt1"/>
              </a:solidFill>
              <a:effectLst/>
              <a:latin typeface="Arial" panose="020B0604020202020204" pitchFamily="34" charset="0"/>
              <a:ea typeface="+mn-ea"/>
              <a:cs typeface="Arial" panose="020B0604020202020204" pitchFamily="34" charset="0"/>
            </a:rPr>
            <a:t>Hide InfoText</a:t>
          </a:r>
        </a:p>
      </xdr:txBody>
    </xdr:sp>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18413F-6C55-4ED4-B438-35957F05297E}">
  <sheetPr codeName="Sheet53">
    <tabColor rgb="FFFF6600"/>
  </sheetPr>
  <dimension ref="A1:CJ102"/>
  <sheetViews>
    <sheetView showGridLines="0" showRowColHeaders="0" tabSelected="1" zoomScale="90" zoomScaleNormal="90" workbookViewId="0">
      <pane ySplit="3" topLeftCell="A4" activePane="bottomLeft" state="frozen"/>
      <selection activeCell="P18" sqref="P18"/>
      <selection pane="bottomLeft" activeCell="N8" sqref="N8"/>
    </sheetView>
  </sheetViews>
  <sheetFormatPr defaultColWidth="9.109375" defaultRowHeight="13.8"/>
  <cols>
    <col min="1" max="1" width="6.6640625" style="5" customWidth="1"/>
    <col min="2" max="2" width="9.109375" style="5"/>
    <col min="3" max="3" width="13.44140625" style="5" customWidth="1"/>
    <col min="4" max="4" width="9.109375" style="5"/>
    <col min="5" max="5" width="23.109375" style="5" customWidth="1"/>
    <col min="6" max="6" width="21.88671875" style="5" customWidth="1"/>
    <col min="7" max="7" width="12.44140625" style="5" customWidth="1"/>
    <col min="8" max="8" width="13.33203125" style="5" customWidth="1"/>
    <col min="9" max="9" width="15.5546875" style="134" customWidth="1"/>
    <col min="10" max="13" width="9.109375" style="134"/>
    <col min="14" max="14" width="7.5546875" style="134" customWidth="1"/>
    <col min="15" max="30" width="10.6640625" style="134" customWidth="1"/>
    <col min="31" max="88" width="9.109375" style="134"/>
    <col min="89" max="390" width="9.109375" style="5"/>
    <col min="391" max="391" width="5.6640625" style="5" customWidth="1"/>
    <col min="392" max="16384" width="9.109375" style="5"/>
  </cols>
  <sheetData>
    <row r="1" spans="1:88" s="1" customFormat="1" ht="20.25" customHeight="1">
      <c r="A1" s="5"/>
      <c r="I1" s="134"/>
      <c r="J1" s="134"/>
      <c r="K1" s="134"/>
      <c r="L1" s="134"/>
      <c r="M1" s="134"/>
      <c r="N1" s="134"/>
      <c r="O1" s="134"/>
      <c r="P1" s="134"/>
      <c r="Q1" s="134"/>
      <c r="R1" s="134"/>
      <c r="S1" s="134"/>
      <c r="T1" s="134"/>
      <c r="U1" s="134"/>
      <c r="V1" s="134"/>
      <c r="W1" s="134"/>
      <c r="X1" s="134"/>
      <c r="Y1" s="134"/>
      <c r="Z1" s="134"/>
      <c r="AA1" s="134"/>
      <c r="AB1" s="134"/>
      <c r="AC1" s="134"/>
      <c r="AD1" s="134"/>
      <c r="AE1" s="134"/>
      <c r="AF1" s="134"/>
      <c r="AG1" s="134"/>
      <c r="AH1" s="134"/>
      <c r="AI1" s="134"/>
      <c r="AJ1" s="134"/>
      <c r="AK1" s="134"/>
      <c r="AL1" s="134"/>
      <c r="AM1" s="134"/>
      <c r="AN1" s="134"/>
      <c r="AO1" s="134"/>
      <c r="AP1" s="134"/>
      <c r="AQ1" s="134"/>
      <c r="AR1" s="134"/>
      <c r="AS1" s="134"/>
      <c r="AT1" s="134"/>
      <c r="AU1" s="134"/>
      <c r="AV1" s="134"/>
      <c r="AW1" s="134"/>
      <c r="AX1" s="134"/>
      <c r="AY1" s="134"/>
      <c r="AZ1" s="134"/>
      <c r="BA1" s="134"/>
      <c r="BB1" s="134"/>
      <c r="BC1" s="134"/>
      <c r="BD1" s="134"/>
      <c r="BE1" s="134"/>
      <c r="BF1" s="134"/>
      <c r="BG1" s="134"/>
      <c r="BH1" s="134"/>
      <c r="BI1" s="134"/>
      <c r="BJ1" s="134"/>
      <c r="BK1" s="134"/>
      <c r="BL1" s="134"/>
      <c r="BM1" s="134"/>
      <c r="BN1" s="134"/>
      <c r="BO1" s="134"/>
      <c r="BP1" s="134"/>
      <c r="BQ1" s="134"/>
      <c r="BR1" s="134"/>
      <c r="BS1" s="134"/>
      <c r="BT1" s="134"/>
      <c r="BU1" s="134"/>
      <c r="BV1" s="134"/>
      <c r="BW1" s="134"/>
      <c r="BX1" s="134"/>
      <c r="BY1" s="134"/>
      <c r="BZ1" s="134"/>
      <c r="CA1" s="134"/>
      <c r="CB1" s="134"/>
      <c r="CC1" s="134"/>
      <c r="CD1" s="134"/>
      <c r="CE1" s="134"/>
      <c r="CF1" s="134"/>
      <c r="CG1" s="134"/>
      <c r="CH1" s="134"/>
      <c r="CI1" s="134"/>
      <c r="CJ1" s="134"/>
    </row>
    <row r="2" spans="1:88" s="1" customFormat="1">
      <c r="I2" s="134"/>
      <c r="J2" s="134"/>
      <c r="K2" s="134"/>
      <c r="L2" s="200"/>
      <c r="M2" s="201"/>
      <c r="N2" s="201"/>
      <c r="O2" s="134"/>
      <c r="P2" s="134"/>
      <c r="Q2" s="134"/>
      <c r="R2" s="134"/>
      <c r="S2" s="134"/>
      <c r="T2" s="134"/>
      <c r="U2" s="134"/>
      <c r="V2" s="134"/>
      <c r="W2" s="134"/>
      <c r="X2" s="134"/>
      <c r="Y2" s="134"/>
      <c r="Z2" s="134"/>
      <c r="AA2" s="134"/>
      <c r="AB2" s="134"/>
      <c r="AC2" s="134"/>
      <c r="AD2" s="134"/>
      <c r="AE2" s="134"/>
      <c r="AF2" s="134"/>
      <c r="AG2" s="134"/>
      <c r="AH2" s="134"/>
      <c r="AI2" s="134"/>
      <c r="AJ2" s="134"/>
      <c r="AK2" s="134"/>
      <c r="AL2" s="134"/>
      <c r="AM2" s="134"/>
      <c r="AN2" s="134"/>
      <c r="AO2" s="134"/>
      <c r="AP2" s="134"/>
      <c r="AQ2" s="134"/>
      <c r="AR2" s="134"/>
      <c r="AS2" s="134"/>
      <c r="AT2" s="134"/>
      <c r="AU2" s="134"/>
      <c r="AV2" s="134"/>
      <c r="AW2" s="134"/>
      <c r="AX2" s="134"/>
      <c r="AY2" s="134"/>
      <c r="AZ2" s="134"/>
      <c r="BA2" s="134"/>
      <c r="BB2" s="134"/>
      <c r="BC2" s="134"/>
      <c r="BD2" s="134"/>
      <c r="BE2" s="134"/>
      <c r="BF2" s="134"/>
      <c r="BG2" s="134"/>
      <c r="BH2" s="134"/>
      <c r="BI2" s="134"/>
      <c r="BJ2" s="134"/>
      <c r="BK2" s="134"/>
      <c r="BL2" s="134"/>
      <c r="BM2" s="134"/>
      <c r="BN2" s="134"/>
      <c r="BO2" s="134"/>
      <c r="BP2" s="134"/>
      <c r="BQ2" s="134"/>
      <c r="BR2" s="134"/>
      <c r="BS2" s="134"/>
      <c r="BT2" s="134"/>
      <c r="BU2" s="134"/>
      <c r="BV2" s="134"/>
      <c r="BW2" s="134"/>
      <c r="BX2" s="134"/>
      <c r="BY2" s="134"/>
      <c r="BZ2" s="134"/>
      <c r="CA2" s="134"/>
      <c r="CB2" s="134"/>
      <c r="CC2" s="134"/>
      <c r="CD2" s="134"/>
      <c r="CE2" s="134"/>
      <c r="CF2" s="134"/>
      <c r="CG2" s="134"/>
      <c r="CH2" s="134"/>
      <c r="CI2" s="134"/>
      <c r="CJ2" s="134"/>
    </row>
    <row r="3" spans="1:88" s="1" customFormat="1" ht="41.25" customHeight="1">
      <c r="I3" s="134"/>
      <c r="J3" s="134"/>
      <c r="K3" s="134"/>
      <c r="L3" s="200"/>
      <c r="M3" s="201"/>
      <c r="N3" s="201"/>
      <c r="O3" s="134"/>
      <c r="P3" s="134"/>
      <c r="Q3" s="134"/>
      <c r="R3" s="134"/>
      <c r="S3" s="134"/>
      <c r="T3" s="134"/>
      <c r="U3" s="134"/>
      <c r="V3" s="134"/>
      <c r="W3" s="134"/>
      <c r="X3" s="134"/>
      <c r="Y3" s="134"/>
      <c r="Z3" s="134"/>
      <c r="AA3" s="134"/>
      <c r="AB3" s="134"/>
      <c r="AC3" s="134"/>
      <c r="AD3" s="134"/>
      <c r="AE3" s="134"/>
      <c r="AF3" s="134"/>
      <c r="AG3" s="134"/>
      <c r="AH3" s="134"/>
      <c r="AI3" s="134"/>
      <c r="AJ3" s="134"/>
      <c r="AK3" s="134"/>
      <c r="AL3" s="134"/>
      <c r="AM3" s="134"/>
      <c r="AN3" s="134"/>
      <c r="AO3" s="134"/>
      <c r="AP3" s="134"/>
      <c r="AQ3" s="134"/>
      <c r="AR3" s="134"/>
      <c r="AS3" s="134"/>
      <c r="AT3" s="134"/>
      <c r="AU3" s="134"/>
      <c r="AV3" s="134"/>
      <c r="AW3" s="134"/>
      <c r="AX3" s="134"/>
      <c r="AY3" s="134"/>
      <c r="AZ3" s="134"/>
      <c r="BA3" s="134"/>
      <c r="BB3" s="134"/>
      <c r="BC3" s="134"/>
      <c r="BD3" s="134"/>
      <c r="BE3" s="134"/>
      <c r="BF3" s="134"/>
      <c r="BG3" s="134"/>
      <c r="BH3" s="134"/>
      <c r="BI3" s="134"/>
      <c r="BJ3" s="134"/>
      <c r="BK3" s="134"/>
      <c r="BL3" s="134"/>
      <c r="BM3" s="134"/>
      <c r="BN3" s="134"/>
      <c r="BO3" s="134"/>
      <c r="BP3" s="134"/>
      <c r="BQ3" s="134"/>
      <c r="BR3" s="134"/>
      <c r="BS3" s="134"/>
      <c r="BT3" s="134"/>
      <c r="BU3" s="134"/>
      <c r="BV3" s="134"/>
      <c r="BW3" s="134"/>
      <c r="BX3" s="134"/>
      <c r="BY3" s="134"/>
      <c r="BZ3" s="134"/>
      <c r="CA3" s="134"/>
      <c r="CB3" s="134"/>
      <c r="CC3" s="134"/>
      <c r="CD3" s="134"/>
      <c r="CE3" s="134"/>
      <c r="CF3" s="134"/>
      <c r="CG3" s="134"/>
      <c r="CH3" s="134"/>
      <c r="CI3" s="134"/>
      <c r="CJ3" s="134"/>
    </row>
    <row r="4" spans="1:88" s="1" customFormat="1" ht="36.6" customHeight="1">
      <c r="I4" s="158"/>
      <c r="J4" s="158"/>
      <c r="K4" s="158"/>
      <c r="L4" s="200"/>
      <c r="M4" s="201"/>
      <c r="N4" s="201"/>
      <c r="O4" s="134"/>
      <c r="P4" s="134"/>
      <c r="Q4" s="134"/>
      <c r="R4" s="134"/>
      <c r="S4" s="134"/>
      <c r="T4" s="134"/>
      <c r="U4" s="134"/>
      <c r="V4" s="134"/>
      <c r="W4" s="134"/>
      <c r="X4" s="134"/>
      <c r="Y4" s="134"/>
      <c r="Z4" s="134"/>
      <c r="AA4" s="134"/>
      <c r="AB4" s="134"/>
      <c r="AC4" s="134"/>
      <c r="AD4" s="134"/>
      <c r="AE4" s="134"/>
      <c r="AF4" s="134"/>
      <c r="AG4" s="134"/>
      <c r="AH4" s="134"/>
      <c r="AI4" s="134"/>
      <c r="AJ4" s="134"/>
      <c r="AK4" s="134"/>
      <c r="AL4" s="134"/>
      <c r="AM4" s="134"/>
      <c r="AN4" s="134"/>
      <c r="AO4" s="134"/>
      <c r="AP4" s="134"/>
      <c r="AQ4" s="134"/>
      <c r="AR4" s="134"/>
      <c r="AS4" s="134"/>
      <c r="AT4" s="134"/>
      <c r="AU4" s="134"/>
      <c r="AV4" s="134"/>
      <c r="AW4" s="134"/>
      <c r="AX4" s="134"/>
      <c r="AY4" s="134"/>
      <c r="AZ4" s="134"/>
      <c r="BA4" s="134"/>
      <c r="BB4" s="134"/>
      <c r="BC4" s="134"/>
      <c r="BD4" s="134"/>
      <c r="BE4" s="134"/>
      <c r="BF4" s="134"/>
      <c r="BG4" s="134"/>
      <c r="BH4" s="134"/>
      <c r="BI4" s="134"/>
      <c r="BJ4" s="134"/>
      <c r="BK4" s="134"/>
      <c r="BL4" s="134"/>
      <c r="BM4" s="134"/>
      <c r="BN4" s="134"/>
      <c r="BO4" s="134"/>
      <c r="BP4" s="134"/>
      <c r="BQ4" s="134"/>
      <c r="BR4" s="134"/>
      <c r="BS4" s="134"/>
      <c r="BT4" s="134"/>
      <c r="BU4" s="134"/>
      <c r="BV4" s="134"/>
      <c r="BW4" s="134"/>
      <c r="BX4" s="134"/>
      <c r="BY4" s="134"/>
      <c r="BZ4" s="134"/>
      <c r="CA4" s="134"/>
      <c r="CB4" s="134"/>
      <c r="CC4" s="134"/>
      <c r="CD4" s="134"/>
      <c r="CE4" s="134"/>
      <c r="CF4" s="134"/>
      <c r="CG4" s="134"/>
      <c r="CH4" s="134"/>
      <c r="CI4" s="134"/>
      <c r="CJ4" s="134"/>
    </row>
    <row r="5" spans="1:88" s="1" customFormat="1" ht="13.8" customHeight="1">
      <c r="B5" s="293" t="str">
        <f>Tr("LANGUAGE_LABEL","Language")</f>
        <v>Language</v>
      </c>
      <c r="C5" s="293"/>
      <c r="D5" s="293"/>
      <c r="E5" s="293"/>
      <c r="F5" s="214" t="s">
        <v>327</v>
      </c>
      <c r="G5" s="213"/>
      <c r="I5" s="158"/>
      <c r="J5" s="158"/>
      <c r="K5" s="158"/>
      <c r="L5" s="200"/>
      <c r="M5" s="201"/>
      <c r="N5" s="201"/>
      <c r="O5" s="134"/>
      <c r="P5" s="134"/>
      <c r="Q5" s="134"/>
      <c r="R5" s="134"/>
      <c r="S5" s="134"/>
      <c r="T5" s="134"/>
      <c r="U5" s="134"/>
      <c r="V5" s="134"/>
      <c r="W5" s="134"/>
      <c r="X5" s="134"/>
      <c r="Y5" s="134"/>
      <c r="Z5" s="134"/>
      <c r="AA5" s="134"/>
      <c r="AB5" s="134"/>
      <c r="AC5" s="134"/>
      <c r="AD5" s="134"/>
      <c r="AE5" s="134"/>
      <c r="AF5" s="134"/>
      <c r="AG5" s="134"/>
      <c r="AH5" s="134"/>
      <c r="AI5" s="134"/>
      <c r="AJ5" s="134"/>
      <c r="AK5" s="134"/>
      <c r="AL5" s="134"/>
      <c r="AM5" s="134"/>
      <c r="AN5" s="134"/>
      <c r="AO5" s="134"/>
      <c r="AP5" s="134"/>
      <c r="AQ5" s="134"/>
      <c r="AR5" s="134"/>
      <c r="AS5" s="134"/>
      <c r="AT5" s="134"/>
      <c r="AU5" s="134"/>
      <c r="AV5" s="134"/>
      <c r="AW5" s="134"/>
      <c r="AX5" s="134"/>
      <c r="AY5" s="134"/>
      <c r="AZ5" s="134"/>
      <c r="BA5" s="134"/>
      <c r="BB5" s="134"/>
      <c r="BC5" s="134"/>
      <c r="BD5" s="134"/>
      <c r="BE5" s="134"/>
      <c r="BF5" s="134"/>
      <c r="BG5" s="134"/>
      <c r="BH5" s="134"/>
      <c r="BI5" s="134"/>
      <c r="BJ5" s="134"/>
      <c r="BK5" s="134"/>
      <c r="BL5" s="134"/>
      <c r="BM5" s="134"/>
      <c r="BN5" s="134"/>
      <c r="BO5" s="134"/>
      <c r="BP5" s="134"/>
      <c r="BQ5" s="134"/>
      <c r="BR5" s="134"/>
      <c r="BS5" s="134"/>
      <c r="BT5" s="134"/>
      <c r="BU5" s="134"/>
      <c r="BV5" s="134"/>
      <c r="BW5" s="134"/>
      <c r="BX5" s="134"/>
      <c r="BY5" s="134"/>
      <c r="BZ5" s="134"/>
      <c r="CA5" s="134"/>
      <c r="CB5" s="134"/>
      <c r="CC5" s="134"/>
      <c r="CD5" s="134"/>
      <c r="CE5" s="134"/>
      <c r="CF5" s="134"/>
      <c r="CG5" s="134"/>
      <c r="CH5" s="134"/>
      <c r="CI5" s="134"/>
      <c r="CJ5" s="134"/>
    </row>
    <row r="6" spans="1:88" s="1" customFormat="1" ht="13.8" customHeight="1">
      <c r="B6" s="294" t="str">
        <f>Tr("UNITS_LABEL","Units")</f>
        <v>Units</v>
      </c>
      <c r="C6" s="294"/>
      <c r="D6" s="294"/>
      <c r="E6" s="294"/>
      <c r="F6" s="214" t="s">
        <v>1050</v>
      </c>
      <c r="G6" s="213"/>
      <c r="I6" s="158"/>
      <c r="J6" s="158"/>
      <c r="K6" s="158"/>
      <c r="L6" s="200"/>
      <c r="M6" s="201"/>
      <c r="N6" s="201"/>
      <c r="O6" s="134"/>
      <c r="P6" s="134"/>
      <c r="Q6" s="134"/>
      <c r="R6" s="134"/>
      <c r="S6" s="134"/>
      <c r="T6" s="134"/>
      <c r="U6" s="134"/>
      <c r="V6" s="134"/>
      <c r="W6" s="134"/>
      <c r="X6" s="134"/>
      <c r="Y6" s="134"/>
      <c r="Z6" s="134"/>
      <c r="AA6" s="134"/>
      <c r="AB6" s="134"/>
      <c r="AC6" s="134"/>
      <c r="AD6" s="134"/>
      <c r="AE6" s="134"/>
      <c r="AF6" s="134"/>
      <c r="AG6" s="134"/>
      <c r="AH6" s="134"/>
      <c r="AI6" s="134"/>
      <c r="AJ6" s="134"/>
      <c r="AK6" s="134"/>
      <c r="AL6" s="134"/>
      <c r="AM6" s="134"/>
      <c r="AN6" s="134"/>
      <c r="AO6" s="134"/>
      <c r="AP6" s="134"/>
      <c r="AQ6" s="134"/>
      <c r="AR6" s="134"/>
      <c r="AS6" s="134"/>
      <c r="AT6" s="134"/>
      <c r="AU6" s="134"/>
      <c r="AV6" s="134"/>
      <c r="AW6" s="134"/>
      <c r="AX6" s="134"/>
      <c r="AY6" s="134"/>
      <c r="AZ6" s="134"/>
      <c r="BA6" s="134"/>
      <c r="BB6" s="134"/>
      <c r="BC6" s="134"/>
      <c r="BD6" s="134"/>
      <c r="BE6" s="134"/>
      <c r="BF6" s="134"/>
      <c r="BG6" s="134"/>
      <c r="BH6" s="134"/>
      <c r="BI6" s="134"/>
      <c r="BJ6" s="134"/>
      <c r="BK6" s="134"/>
      <c r="BL6" s="134"/>
      <c r="BM6" s="134"/>
      <c r="BN6" s="134"/>
      <c r="BO6" s="134"/>
      <c r="BP6" s="134"/>
      <c r="BQ6" s="134"/>
      <c r="BR6" s="134"/>
      <c r="BS6" s="134"/>
      <c r="BT6" s="134"/>
      <c r="BU6" s="134"/>
      <c r="BV6" s="134"/>
      <c r="BW6" s="134"/>
      <c r="BX6" s="134"/>
      <c r="BY6" s="134"/>
      <c r="BZ6" s="134"/>
      <c r="CA6" s="134"/>
      <c r="CB6" s="134"/>
      <c r="CC6" s="134"/>
      <c r="CD6" s="134"/>
      <c r="CE6" s="134"/>
      <c r="CF6" s="134"/>
      <c r="CG6" s="134"/>
      <c r="CH6" s="134"/>
      <c r="CI6" s="134"/>
      <c r="CJ6" s="134"/>
    </row>
    <row r="7" spans="1:88" s="1" customFormat="1" ht="13.8" customHeight="1">
      <c r="I7" s="158"/>
      <c r="J7" s="158"/>
      <c r="K7" s="158"/>
      <c r="L7" s="200"/>
      <c r="M7" s="201"/>
      <c r="N7" s="201"/>
      <c r="O7" s="134"/>
      <c r="P7" s="134"/>
      <c r="Q7" s="134"/>
      <c r="R7" s="134"/>
      <c r="S7" s="134"/>
      <c r="T7" s="134"/>
      <c r="U7" s="134"/>
      <c r="V7" s="134"/>
      <c r="W7" s="134"/>
      <c r="X7" s="134"/>
      <c r="Y7" s="134"/>
      <c r="Z7" s="134"/>
      <c r="AA7" s="134"/>
      <c r="AB7" s="134"/>
      <c r="AC7" s="134"/>
      <c r="AD7" s="134"/>
      <c r="AE7" s="134"/>
      <c r="AF7" s="134"/>
      <c r="AG7" s="134"/>
      <c r="AH7" s="134"/>
      <c r="AI7" s="134"/>
      <c r="AJ7" s="134"/>
      <c r="AK7" s="134"/>
      <c r="AL7" s="134"/>
      <c r="AM7" s="134"/>
      <c r="AN7" s="134"/>
      <c r="AO7" s="134"/>
      <c r="AP7" s="134"/>
      <c r="AQ7" s="134"/>
      <c r="AR7" s="134"/>
      <c r="AS7" s="134"/>
      <c r="AT7" s="134"/>
      <c r="AU7" s="134"/>
      <c r="AV7" s="134"/>
      <c r="AW7" s="134"/>
      <c r="AX7" s="134"/>
      <c r="AY7" s="134"/>
      <c r="AZ7" s="134"/>
      <c r="BA7" s="134"/>
      <c r="BB7" s="134"/>
      <c r="BC7" s="134"/>
      <c r="BD7" s="134"/>
      <c r="BE7" s="134"/>
      <c r="BF7" s="134"/>
      <c r="BG7" s="134"/>
      <c r="BH7" s="134"/>
      <c r="BI7" s="134"/>
      <c r="BJ7" s="134"/>
      <c r="BK7" s="134"/>
      <c r="BL7" s="134"/>
      <c r="BM7" s="134"/>
      <c r="BN7" s="134"/>
      <c r="BO7" s="134"/>
      <c r="BP7" s="134"/>
      <c r="BQ7" s="134"/>
      <c r="BR7" s="134"/>
      <c r="BS7" s="134"/>
      <c r="BT7" s="134"/>
      <c r="BU7" s="134"/>
      <c r="BV7" s="134"/>
      <c r="BW7" s="134"/>
      <c r="BX7" s="134"/>
      <c r="BY7" s="134"/>
      <c r="BZ7" s="134"/>
      <c r="CA7" s="134"/>
      <c r="CB7" s="134"/>
      <c r="CC7" s="134"/>
      <c r="CD7" s="134"/>
      <c r="CE7" s="134"/>
      <c r="CF7" s="134"/>
      <c r="CG7" s="134"/>
      <c r="CH7" s="134"/>
      <c r="CI7" s="134"/>
      <c r="CJ7" s="134"/>
    </row>
    <row r="8" spans="1:88" s="1" customFormat="1" ht="21" customHeight="1">
      <c r="I8" s="158"/>
      <c r="J8" s="158"/>
      <c r="K8" s="158"/>
      <c r="L8" s="134"/>
      <c r="M8" s="134"/>
      <c r="N8" s="134"/>
      <c r="O8" s="134"/>
      <c r="P8" s="134"/>
      <c r="Q8" s="134"/>
      <c r="R8" s="134"/>
      <c r="S8" s="134"/>
      <c r="T8" s="134"/>
      <c r="U8" s="134"/>
      <c r="V8" s="134"/>
      <c r="W8" s="134"/>
      <c r="X8" s="134"/>
      <c r="Y8" s="134"/>
      <c r="Z8" s="134"/>
      <c r="AA8" s="134"/>
      <c r="AB8" s="134"/>
      <c r="AC8" s="134"/>
      <c r="AD8" s="134"/>
      <c r="AE8" s="134"/>
      <c r="AF8" s="134"/>
      <c r="AG8" s="134"/>
      <c r="AH8" s="134"/>
      <c r="AI8" s="134"/>
      <c r="AJ8" s="134"/>
      <c r="AK8" s="134"/>
      <c r="AL8" s="134"/>
      <c r="AM8" s="134"/>
      <c r="AN8" s="134"/>
      <c r="AO8" s="134"/>
      <c r="AP8" s="134"/>
      <c r="AQ8" s="134"/>
      <c r="AR8" s="134"/>
      <c r="AS8" s="134"/>
      <c r="AT8" s="134"/>
      <c r="AU8" s="134"/>
      <c r="AV8" s="134"/>
      <c r="AW8" s="134"/>
      <c r="AX8" s="134"/>
      <c r="AY8" s="134"/>
      <c r="AZ8" s="134"/>
      <c r="BA8" s="134"/>
      <c r="BB8" s="134"/>
      <c r="BC8" s="134"/>
      <c r="BD8" s="134"/>
      <c r="BE8" s="134"/>
      <c r="BF8" s="134"/>
      <c r="BG8" s="134"/>
      <c r="BH8" s="134"/>
      <c r="BI8" s="134"/>
      <c r="BJ8" s="134"/>
      <c r="BK8" s="134"/>
      <c r="BL8" s="134"/>
      <c r="BM8" s="134"/>
      <c r="BN8" s="134"/>
      <c r="BO8" s="134"/>
      <c r="BP8" s="134"/>
      <c r="BQ8" s="134"/>
      <c r="BR8" s="134"/>
      <c r="BS8" s="134"/>
      <c r="BT8" s="134"/>
      <c r="BU8" s="134"/>
      <c r="BV8" s="134"/>
      <c r="BW8" s="134"/>
      <c r="BX8" s="134"/>
      <c r="BY8" s="134"/>
      <c r="BZ8" s="134"/>
      <c r="CA8" s="134"/>
      <c r="CB8" s="134"/>
      <c r="CC8" s="134"/>
      <c r="CD8" s="134"/>
      <c r="CE8" s="134"/>
      <c r="CF8" s="134"/>
      <c r="CG8" s="134"/>
      <c r="CH8" s="134"/>
      <c r="CI8" s="134"/>
      <c r="CJ8" s="134"/>
    </row>
    <row r="9" spans="1:88" s="1" customFormat="1" ht="30" customHeight="1">
      <c r="F9" s="2" t="str">
        <f>Tr("COIL_VALUE_HDR","Value")</f>
        <v>Value</v>
      </c>
      <c r="G9" s="2" t="str">
        <f>Tr("COIL_UNIT_HDR","Unit")</f>
        <v>Unit</v>
      </c>
      <c r="I9" s="158"/>
      <c r="J9" s="158"/>
      <c r="K9" s="158"/>
      <c r="L9" s="134"/>
      <c r="M9" s="134"/>
      <c r="N9" s="134"/>
      <c r="O9" s="134"/>
      <c r="P9" s="134"/>
      <c r="Q9" s="134"/>
      <c r="R9" s="134"/>
      <c r="S9" s="134"/>
      <c r="T9" s="134"/>
      <c r="U9" s="134"/>
      <c r="V9" s="134"/>
      <c r="W9" s="134"/>
      <c r="X9" s="134"/>
      <c r="Y9" s="134"/>
      <c r="Z9" s="134"/>
      <c r="AA9" s="134"/>
      <c r="AB9" s="134"/>
      <c r="AC9" s="134"/>
      <c r="AD9" s="134"/>
      <c r="AE9" s="134"/>
      <c r="AF9" s="134"/>
      <c r="AG9" s="134"/>
      <c r="AH9" s="134"/>
      <c r="AI9" s="134"/>
      <c r="AJ9" s="134"/>
      <c r="AK9" s="134"/>
      <c r="AL9" s="134"/>
      <c r="AM9" s="134"/>
      <c r="AN9" s="134"/>
      <c r="AO9" s="134"/>
      <c r="AP9" s="134"/>
      <c r="AQ9" s="134"/>
      <c r="AR9" s="134"/>
      <c r="AS9" s="134"/>
      <c r="AT9" s="134"/>
      <c r="AU9" s="134"/>
      <c r="AV9" s="134"/>
      <c r="AW9" s="134"/>
      <c r="AX9" s="134"/>
      <c r="AY9" s="134"/>
      <c r="AZ9" s="134"/>
      <c r="BA9" s="134"/>
      <c r="BB9" s="134"/>
      <c r="BC9" s="134"/>
      <c r="BD9" s="134"/>
      <c r="BE9" s="134"/>
      <c r="BF9" s="134"/>
      <c r="BG9" s="134"/>
      <c r="BH9" s="134"/>
      <c r="BI9" s="134"/>
      <c r="BJ9" s="134"/>
      <c r="BK9" s="134"/>
      <c r="BL9" s="134"/>
      <c r="BM9" s="134"/>
      <c r="BN9" s="134"/>
      <c r="BO9" s="134"/>
      <c r="BP9" s="134"/>
      <c r="BQ9" s="134"/>
      <c r="BR9" s="134"/>
      <c r="BS9" s="134"/>
      <c r="BT9" s="134"/>
      <c r="BU9" s="134"/>
      <c r="BV9" s="134"/>
      <c r="BW9" s="134"/>
      <c r="BX9" s="134"/>
      <c r="BY9" s="134"/>
      <c r="BZ9" s="134"/>
      <c r="CA9" s="134"/>
      <c r="CB9" s="134"/>
      <c r="CC9" s="134"/>
      <c r="CD9" s="134"/>
      <c r="CE9" s="134"/>
      <c r="CF9" s="134"/>
      <c r="CG9" s="134"/>
      <c r="CH9" s="134"/>
      <c r="CI9" s="134"/>
      <c r="CJ9" s="134"/>
    </row>
    <row r="10" spans="1:88">
      <c r="A10" s="1"/>
      <c r="B10" s="305" t="str">
        <f>Tr("ELECTRICITY_COST_AVG","Electricity Cost (Average)")</f>
        <v>Electricity Cost (Average)</v>
      </c>
      <c r="C10" s="306"/>
      <c r="D10" s="306"/>
      <c r="E10" s="307"/>
      <c r="F10" s="3">
        <v>0.1</v>
      </c>
      <c r="G10" s="4" t="s">
        <v>3</v>
      </c>
      <c r="H10" s="1"/>
      <c r="I10" s="158"/>
      <c r="J10" s="158"/>
      <c r="K10" s="158"/>
    </row>
    <row r="11" spans="1:88">
      <c r="A11" s="1"/>
      <c r="B11" s="101" t="str">
        <f>Tr("DESIGN_COIL_LOAD","Design Coil Load ")</f>
        <v>Design Coil Load</v>
      </c>
      <c r="C11" s="6"/>
      <c r="D11" s="6"/>
      <c r="E11" s="6"/>
      <c r="F11" s="343">
        <v>310</v>
      </c>
      <c r="G11" s="8" t="str">
        <f>UnitText("FLOW")</f>
        <v>GPM</v>
      </c>
      <c r="H11" s="1"/>
      <c r="I11" s="158"/>
      <c r="J11" s="158"/>
      <c r="K11" s="158"/>
    </row>
    <row r="12" spans="1:88">
      <c r="A12" s="1"/>
      <c r="B12" s="9" t="str">
        <f>Tr("NUMBER_OF_COILS","Number Of Coils")</f>
        <v>Number Of Coils</v>
      </c>
      <c r="C12" s="10"/>
      <c r="D12" s="10"/>
      <c r="E12" s="10"/>
      <c r="F12" s="156">
        <v>1</v>
      </c>
      <c r="G12" s="11" t="str">
        <f>Tr("UNIT_PCS","pcs.")</f>
        <v>pcs.</v>
      </c>
      <c r="H12" s="1"/>
      <c r="I12" s="158"/>
      <c r="J12" s="158"/>
      <c r="K12" s="158"/>
    </row>
    <row r="13" spans="1:88">
      <c r="A13" s="1"/>
      <c r="B13" s="12" t="str">
        <f>Tr("OPERATING_HOURS_DAY","Operating Hours / Day")</f>
        <v>Operating Hours / Day</v>
      </c>
      <c r="C13" s="13"/>
      <c r="D13" s="13"/>
      <c r="E13" s="13"/>
      <c r="F13" s="7">
        <v>20</v>
      </c>
      <c r="G13" s="14" t="str">
        <f>Tr("UNIT_HOURS","hours")</f>
        <v>hours</v>
      </c>
      <c r="H13" s="1"/>
      <c r="I13" s="158"/>
      <c r="J13" s="158"/>
      <c r="K13" s="158"/>
    </row>
    <row r="14" spans="1:88">
      <c r="A14" s="1"/>
      <c r="B14" s="12" t="str">
        <f>Tr("OPERATING_DAYS_WEEK","Operating Days / Week")</f>
        <v>Operating Days / Week</v>
      </c>
      <c r="C14" s="13"/>
      <c r="D14" s="13"/>
      <c r="E14" s="13"/>
      <c r="F14" s="7">
        <v>6</v>
      </c>
      <c r="G14" s="8" t="str">
        <f>Tr("UNIT_DAYS","days")</f>
        <v>days</v>
      </c>
      <c r="H14" s="1"/>
      <c r="I14" s="158"/>
      <c r="J14" s="158"/>
      <c r="K14" s="158"/>
    </row>
    <row r="15" spans="1:88">
      <c r="A15" s="1"/>
      <c r="B15" s="12" t="str">
        <f>Tr("OPERATING_WEEKS_YEAR","Operating Weeks / Year")</f>
        <v>Operating Weeks / Year</v>
      </c>
      <c r="C15" s="13"/>
      <c r="D15" s="13"/>
      <c r="E15" s="13"/>
      <c r="F15" s="7">
        <v>52</v>
      </c>
      <c r="G15" s="8" t="str">
        <f>Tr("UNIT_WEEKS","weeks")</f>
        <v>weeks</v>
      </c>
      <c r="H15" s="1"/>
      <c r="I15" s="158"/>
      <c r="J15" s="158"/>
      <c r="K15" s="158"/>
    </row>
    <row r="16" spans="1:88" s="18" customFormat="1">
      <c r="A16" s="1"/>
      <c r="B16" s="9" t="str">
        <f>Tr("ACTUAL_PRIMARY_PUMP_HEAD","Actual Primary Pump Head (Design)")</f>
        <v>Actual Primary Pump Head (Design)</v>
      </c>
      <c r="C16" s="10"/>
      <c r="D16" s="10"/>
      <c r="E16" s="10"/>
      <c r="F16" s="344">
        <v>30</v>
      </c>
      <c r="G16" s="8" t="str">
        <f>UnitText("HEAD")</f>
        <v>ft.</v>
      </c>
      <c r="H16" s="2"/>
      <c r="I16" s="159"/>
      <c r="J16" s="159"/>
      <c r="K16" s="159"/>
      <c r="L16" s="135"/>
      <c r="M16" s="135"/>
      <c r="N16" s="135"/>
      <c r="O16" s="135"/>
      <c r="P16" s="135"/>
      <c r="Q16" s="135"/>
      <c r="R16" s="135"/>
      <c r="S16" s="135"/>
      <c r="T16" s="135"/>
      <c r="U16" s="135"/>
      <c r="V16" s="135"/>
      <c r="W16" s="135"/>
      <c r="X16" s="135"/>
      <c r="Y16" s="135"/>
      <c r="Z16" s="135"/>
      <c r="AA16" s="135"/>
      <c r="AB16" s="135"/>
      <c r="AC16" s="135"/>
      <c r="AD16" s="135"/>
      <c r="AE16" s="135"/>
      <c r="AF16" s="135"/>
      <c r="AG16" s="135"/>
      <c r="AH16" s="135"/>
      <c r="AI16" s="135"/>
      <c r="AJ16" s="135"/>
      <c r="AK16" s="135"/>
      <c r="AL16" s="135"/>
      <c r="AM16" s="135"/>
      <c r="AN16" s="135"/>
      <c r="AO16" s="135"/>
      <c r="AP16" s="135"/>
      <c r="AQ16" s="135"/>
      <c r="AR16" s="135"/>
      <c r="AS16" s="135"/>
      <c r="AT16" s="135"/>
      <c r="AU16" s="135"/>
      <c r="AV16" s="135"/>
      <c r="AW16" s="135"/>
      <c r="AX16" s="135"/>
      <c r="AY16" s="135"/>
      <c r="AZ16" s="135"/>
      <c r="BA16" s="135"/>
      <c r="BB16" s="135"/>
      <c r="BC16" s="135"/>
      <c r="BD16" s="135"/>
      <c r="BE16" s="135"/>
      <c r="BF16" s="135"/>
      <c r="BG16" s="135"/>
      <c r="BH16" s="135"/>
      <c r="BI16" s="135"/>
      <c r="BJ16" s="135"/>
      <c r="BK16" s="135"/>
      <c r="BL16" s="135"/>
      <c r="BM16" s="135"/>
      <c r="BN16" s="135"/>
      <c r="BO16" s="135"/>
      <c r="BP16" s="135"/>
      <c r="BQ16" s="135"/>
      <c r="BR16" s="135"/>
      <c r="BS16" s="135"/>
      <c r="BT16" s="135"/>
      <c r="BU16" s="135"/>
      <c r="BV16" s="135"/>
      <c r="BW16" s="135"/>
      <c r="BX16" s="135"/>
      <c r="BY16" s="135"/>
      <c r="BZ16" s="135"/>
      <c r="CA16" s="135"/>
      <c r="CB16" s="135"/>
      <c r="CC16" s="135"/>
      <c r="CD16" s="135"/>
      <c r="CE16" s="135"/>
      <c r="CF16" s="135"/>
      <c r="CG16" s="135"/>
      <c r="CH16" s="135"/>
      <c r="CI16" s="135"/>
      <c r="CJ16" s="135"/>
    </row>
    <row r="17" spans="1:88">
      <c r="A17" s="2"/>
      <c r="B17" s="15" t="str">
        <f>Tr("PUMP_VFD_MOTOR_EFFICIENCY","Pump, VFD, Motor Efficiency (Average)")</f>
        <v>Pump, VFD, Motor Efficiency (Average)</v>
      </c>
      <c r="C17" s="16"/>
      <c r="D17" s="16"/>
      <c r="E17" s="16"/>
      <c r="F17" s="7">
        <v>70</v>
      </c>
      <c r="G17" s="17" t="s">
        <v>11</v>
      </c>
      <c r="H17" s="1"/>
      <c r="I17" s="158"/>
      <c r="J17" s="158"/>
      <c r="K17" s="158"/>
    </row>
    <row r="18" spans="1:88">
      <c r="A18" s="1"/>
      <c r="B18" s="102" t="str">
        <f>Tr("DESIGN_DELTA_T","Design Delta T")</f>
        <v>Design Delta T</v>
      </c>
      <c r="C18" s="16"/>
      <c r="D18" s="16"/>
      <c r="E18" s="16"/>
      <c r="F18" s="343">
        <v>12</v>
      </c>
      <c r="G18" s="8" t="str">
        <f>UnitText("DELTA")</f>
        <v>°F</v>
      </c>
      <c r="H18" s="1"/>
      <c r="I18" s="158"/>
      <c r="J18" s="158"/>
      <c r="K18" s="158"/>
    </row>
    <row r="19" spans="1:88">
      <c r="A19" s="1"/>
      <c r="B19" s="15" t="str">
        <f>Tr("ACTUAL_DELTA_T","Actual Delta T (Prior To Energy Valve Installation)")</f>
        <v>Actual Delta T (Prior To Energy Valve Installation)</v>
      </c>
      <c r="C19" s="16"/>
      <c r="D19" s="16"/>
      <c r="E19" s="16"/>
      <c r="F19" s="344">
        <v>6</v>
      </c>
      <c r="G19" s="8" t="str">
        <f>UnitText("DELTA")</f>
        <v>°F</v>
      </c>
      <c r="H19" s="1"/>
      <c r="I19" s="158"/>
      <c r="J19" s="158"/>
      <c r="K19" s="158"/>
    </row>
    <row r="20" spans="1:88">
      <c r="A20" s="1"/>
      <c r="B20" s="19" t="str">
        <f>Tr("FUTURE_DELTA_T","Future Delta T (Energy Valve Delta T Manager Setting)")</f>
        <v>Future Delta T (Energy Valve Delta T Manager Setting)</v>
      </c>
      <c r="C20" s="20"/>
      <c r="D20" s="20"/>
      <c r="E20" s="20"/>
      <c r="F20" s="345">
        <v>12</v>
      </c>
      <c r="G20" s="21" t="str">
        <f>UnitText("DELTA")</f>
        <v>°F</v>
      </c>
      <c r="H20" s="1"/>
      <c r="I20" s="158"/>
      <c r="J20" s="158"/>
      <c r="K20" s="158"/>
    </row>
    <row r="21" spans="1:88">
      <c r="A21" s="1"/>
      <c r="B21" s="142"/>
      <c r="C21" s="143"/>
      <c r="D21" s="143"/>
      <c r="E21" s="143"/>
      <c r="F21" s="144"/>
      <c r="G21" s="145"/>
      <c r="H21" s="1"/>
      <c r="I21" s="158"/>
      <c r="J21" s="158"/>
      <c r="K21" s="158"/>
    </row>
    <row r="22" spans="1:88">
      <c r="A22" s="1"/>
      <c r="B22" s="142"/>
      <c r="C22" s="143"/>
      <c r="D22" s="143"/>
      <c r="E22" s="143"/>
      <c r="F22" s="144"/>
      <c r="G22" s="145"/>
      <c r="H22" s="1"/>
      <c r="I22" s="158"/>
      <c r="J22" s="158"/>
      <c r="K22" s="158"/>
    </row>
    <row r="23" spans="1:88">
      <c r="A23" s="1"/>
      <c r="B23" s="142"/>
      <c r="C23" s="143"/>
      <c r="D23" s="143"/>
      <c r="E23" s="143"/>
      <c r="F23" s="144"/>
      <c r="G23" s="145"/>
      <c r="H23" s="1"/>
      <c r="I23" s="158"/>
      <c r="J23" s="158"/>
      <c r="K23" s="158"/>
    </row>
    <row r="24" spans="1:88">
      <c r="A24" s="1"/>
      <c r="B24" s="142"/>
      <c r="C24" s="143"/>
      <c r="D24" s="143"/>
      <c r="E24" s="143"/>
      <c r="F24" s="144"/>
      <c r="G24" s="145"/>
      <c r="H24" s="1"/>
      <c r="I24" s="158"/>
      <c r="J24" s="158"/>
      <c r="K24" s="158"/>
    </row>
    <row r="25" spans="1:88">
      <c r="A25" s="1"/>
      <c r="B25" s="1"/>
      <c r="C25" s="1"/>
      <c r="D25" s="1"/>
      <c r="E25" s="1"/>
      <c r="F25" s="1"/>
      <c r="G25" s="1"/>
      <c r="H25" s="1"/>
      <c r="I25" s="158"/>
      <c r="J25" s="158"/>
      <c r="K25" s="158"/>
    </row>
    <row r="26" spans="1:88">
      <c r="A26" s="1"/>
      <c r="B26" s="22" t="str">
        <f>Tr("OPERATING_HOURS_DAY","Operating Hours / Day")</f>
        <v>Operating Hours / Day</v>
      </c>
      <c r="C26" s="23"/>
      <c r="D26" s="23">
        <f>F13</f>
        <v>20</v>
      </c>
      <c r="E26" s="23" t="str">
        <f>Tr("UNIT_HOURS","hours")</f>
        <v>hours</v>
      </c>
      <c r="F26" s="1"/>
      <c r="G26" s="24" t="str">
        <f>Tr("EDITABLE_FIELD","Editable Field")</f>
        <v>Editable Field</v>
      </c>
      <c r="H26" s="1"/>
      <c r="I26" s="158"/>
      <c r="J26" s="158"/>
      <c r="K26" s="158"/>
    </row>
    <row r="27" spans="1:88">
      <c r="A27" s="1"/>
      <c r="B27" s="22" t="str">
        <f>Tr("OPERATING_DAYS_WEEK","Operating Days / Week")</f>
        <v>Operating Days / Week</v>
      </c>
      <c r="C27" s="23"/>
      <c r="D27" s="23">
        <f>F14</f>
        <v>6</v>
      </c>
      <c r="E27" s="25" t="str">
        <f>Tr("UNIT_DAYS","days")</f>
        <v>days</v>
      </c>
      <c r="F27" s="1"/>
      <c r="G27" s="26" t="str">
        <f>Tr("LABEL_WORD","Label")</f>
        <v>Label</v>
      </c>
      <c r="H27" s="1"/>
      <c r="I27" s="158"/>
      <c r="J27" s="158"/>
      <c r="K27" s="158"/>
      <c r="N27" s="134" t="s">
        <v>53</v>
      </c>
    </row>
    <row r="28" spans="1:88">
      <c r="A28" s="1"/>
      <c r="B28" s="22" t="str">
        <f>Tr("OPERATING_WEEKS_YEAR","Operating Weeks / Year")</f>
        <v>Operating Weeks / Year</v>
      </c>
      <c r="C28" s="23"/>
      <c r="D28" s="23">
        <f>F15</f>
        <v>52</v>
      </c>
      <c r="E28" s="107" t="str">
        <f>Tr("UNIT_WEEKS","weeks")</f>
        <v>weeks</v>
      </c>
      <c r="F28" s="1"/>
      <c r="G28" s="1"/>
      <c r="H28" s="1"/>
      <c r="I28" s="158"/>
      <c r="J28" s="158"/>
      <c r="K28" s="158"/>
    </row>
    <row r="29" spans="1:88">
      <c r="A29" s="1"/>
      <c r="B29" s="27" t="str">
        <f>Tr("ANNUAL_OPERATING_HOURS","Annual Operating Hours")</f>
        <v>Annual Operating Hours</v>
      </c>
      <c r="C29" s="23"/>
      <c r="D29" s="23">
        <f>(D26*D27)*D28*G56</f>
        <v>5496.5976408912193</v>
      </c>
      <c r="E29" s="23" t="str">
        <f>Tr("UNIT_HOURS","hours")</f>
        <v>hours</v>
      </c>
      <c r="F29" s="1"/>
      <c r="G29" s="1"/>
      <c r="H29" s="1"/>
      <c r="I29" s="158"/>
      <c r="J29" s="158"/>
      <c r="K29" s="158"/>
    </row>
    <row r="30" spans="1:88" s="18" customFormat="1" ht="15" customHeight="1">
      <c r="A30" s="1"/>
      <c r="B30" s="308" t="str">
        <f>Tr("CLIMATE_REGION","Climate Region")</f>
        <v>Climate Region</v>
      </c>
      <c r="C30" s="308"/>
      <c r="D30" s="28"/>
      <c r="E30" s="132" t="s">
        <v>18</v>
      </c>
      <c r="F30" s="1"/>
      <c r="G30" s="1"/>
      <c r="H30" s="1"/>
      <c r="I30" s="158"/>
      <c r="J30" s="158"/>
      <c r="K30" s="158"/>
      <c r="L30" s="134"/>
      <c r="M30" s="134"/>
      <c r="N30" s="134"/>
      <c r="O30" s="135"/>
      <c r="P30" s="135"/>
      <c r="Q30" s="135"/>
      <c r="R30" s="135"/>
      <c r="S30" s="135"/>
      <c r="T30" s="135"/>
      <c r="U30" s="135"/>
      <c r="V30" s="135"/>
      <c r="W30" s="135"/>
      <c r="X30" s="135"/>
      <c r="Y30" s="135"/>
      <c r="Z30" s="135"/>
      <c r="AA30" s="135"/>
      <c r="AB30" s="135"/>
      <c r="AC30" s="135"/>
      <c r="AD30" s="135"/>
      <c r="AE30" s="135"/>
      <c r="AF30" s="135"/>
      <c r="AG30" s="135"/>
      <c r="AH30" s="135"/>
      <c r="AI30" s="135"/>
      <c r="AJ30" s="135"/>
      <c r="AK30" s="135"/>
      <c r="AL30" s="135"/>
      <c r="AM30" s="135"/>
      <c r="AN30" s="135"/>
      <c r="AO30" s="135"/>
      <c r="AP30" s="135"/>
      <c r="AQ30" s="135"/>
      <c r="AR30" s="135"/>
      <c r="AS30" s="135"/>
      <c r="AT30" s="135"/>
      <c r="AU30" s="135"/>
      <c r="AV30" s="135"/>
      <c r="AW30" s="135"/>
      <c r="AX30" s="135"/>
      <c r="AY30" s="135"/>
      <c r="AZ30" s="135"/>
      <c r="BA30" s="135"/>
      <c r="BB30" s="135"/>
      <c r="BC30" s="135"/>
      <c r="BD30" s="135"/>
      <c r="BE30" s="135"/>
      <c r="BF30" s="135"/>
      <c r="BG30" s="135"/>
      <c r="BH30" s="135"/>
      <c r="BI30" s="135"/>
      <c r="BJ30" s="135"/>
      <c r="BK30" s="135"/>
      <c r="BL30" s="135"/>
      <c r="BM30" s="135"/>
      <c r="BN30" s="135"/>
      <c r="BO30" s="135"/>
      <c r="BP30" s="135"/>
      <c r="BQ30" s="135"/>
      <c r="BR30" s="135"/>
      <c r="BS30" s="135"/>
      <c r="BT30" s="135"/>
      <c r="BU30" s="135"/>
      <c r="BV30" s="135"/>
      <c r="BW30" s="135"/>
      <c r="BX30" s="135"/>
      <c r="BY30" s="135"/>
      <c r="BZ30" s="135"/>
      <c r="CA30" s="135"/>
      <c r="CB30" s="135"/>
      <c r="CC30" s="135"/>
      <c r="CD30" s="135"/>
      <c r="CE30" s="135"/>
      <c r="CF30" s="135"/>
      <c r="CG30" s="135"/>
      <c r="CH30" s="135"/>
      <c r="CI30" s="135"/>
      <c r="CJ30" s="135"/>
    </row>
    <row r="31" spans="1:88" s="18" customFormat="1">
      <c r="A31" s="2"/>
      <c r="B31" s="146"/>
      <c r="C31" s="1"/>
      <c r="D31" s="1"/>
      <c r="E31" s="1"/>
      <c r="F31" s="1"/>
      <c r="G31" s="1"/>
      <c r="H31" s="2"/>
      <c r="I31" s="159"/>
      <c r="J31" s="159"/>
      <c r="K31" s="159"/>
      <c r="L31" s="135"/>
      <c r="M31" s="135"/>
      <c r="N31" s="135"/>
      <c r="O31" s="135"/>
      <c r="P31" s="135"/>
      <c r="Q31" s="135"/>
      <c r="R31" s="135"/>
      <c r="S31" s="135"/>
      <c r="T31" s="135"/>
      <c r="U31" s="135"/>
      <c r="V31" s="135"/>
      <c r="W31" s="135"/>
      <c r="X31" s="135"/>
      <c r="Y31" s="135"/>
      <c r="Z31" s="135"/>
      <c r="AA31" s="135"/>
      <c r="AB31" s="135"/>
      <c r="AC31" s="135"/>
      <c r="AD31" s="135"/>
      <c r="AE31" s="135"/>
      <c r="AF31" s="135"/>
      <c r="AG31" s="135"/>
      <c r="AH31" s="135"/>
      <c r="AI31" s="135"/>
      <c r="AJ31" s="135"/>
      <c r="AK31" s="135"/>
      <c r="AL31" s="135"/>
      <c r="AM31" s="135"/>
      <c r="AN31" s="135"/>
      <c r="AO31" s="135"/>
      <c r="AP31" s="135"/>
      <c r="AQ31" s="135"/>
      <c r="AR31" s="135"/>
      <c r="AS31" s="135"/>
      <c r="AT31" s="135"/>
      <c r="AU31" s="135"/>
      <c r="AV31" s="135"/>
      <c r="AW31" s="135"/>
      <c r="AX31" s="135"/>
      <c r="AY31" s="135"/>
      <c r="AZ31" s="135"/>
      <c r="BA31" s="135"/>
      <c r="BB31" s="135"/>
      <c r="BC31" s="135"/>
      <c r="BD31" s="135"/>
      <c r="BE31" s="135"/>
      <c r="BF31" s="135"/>
      <c r="BG31" s="135"/>
      <c r="BH31" s="135"/>
      <c r="BI31" s="135"/>
      <c r="BJ31" s="135"/>
      <c r="BK31" s="135"/>
      <c r="BL31" s="135"/>
      <c r="BM31" s="135"/>
      <c r="BN31" s="135"/>
      <c r="BO31" s="135"/>
      <c r="BP31" s="135"/>
      <c r="BQ31" s="135"/>
      <c r="BR31" s="135"/>
      <c r="BS31" s="135"/>
      <c r="BT31" s="135"/>
      <c r="BU31" s="135"/>
      <c r="BV31" s="135"/>
      <c r="BW31" s="135"/>
      <c r="BX31" s="135"/>
      <c r="BY31" s="135"/>
      <c r="BZ31" s="135"/>
      <c r="CA31" s="135"/>
      <c r="CB31" s="135"/>
      <c r="CC31" s="135"/>
      <c r="CD31" s="135"/>
      <c r="CE31" s="135"/>
      <c r="CF31" s="135"/>
      <c r="CG31" s="135"/>
      <c r="CH31" s="135"/>
      <c r="CI31" s="135"/>
      <c r="CJ31" s="135"/>
    </row>
    <row r="32" spans="1:88" ht="30" customHeight="1">
      <c r="A32" s="2"/>
      <c r="B32" s="341" t="str">
        <f>Tr("POINT_WORD","Point")</f>
        <v>Point</v>
      </c>
      <c r="C32" s="341" t="str">
        <f>Tr("BIN_WORD","Bin")</f>
        <v>Bin</v>
      </c>
      <c r="D32" s="341" t="str">
        <f>Tr("LOAD_WORD","Load")</f>
        <v>Load</v>
      </c>
      <c r="E32" s="341" t="str">
        <f>Tr("PCT_OF_OPERATING_TIME","% of Operating Time")</f>
        <v>% of Operating Time</v>
      </c>
      <c r="F32" s="341" t="str">
        <f>Tr("OPERATING_HOURS_HDR","Operating Hours")</f>
        <v>Operating Hours</v>
      </c>
      <c r="G32" s="342"/>
      <c r="H32" s="1"/>
      <c r="I32" s="158"/>
      <c r="J32" s="158"/>
      <c r="K32" s="158"/>
    </row>
    <row r="33" spans="1:14">
      <c r="A33" s="1"/>
      <c r="B33" s="23" t="s">
        <v>24</v>
      </c>
      <c r="C33" s="23" t="str">
        <f>Tr("BIN_DESIGN","Design")</f>
        <v>Design</v>
      </c>
      <c r="D33" s="30">
        <v>1</v>
      </c>
      <c r="E33" s="31">
        <v>0.25</v>
      </c>
      <c r="F33" s="23">
        <f>$D$29*E33</f>
        <v>1374.1494102228048</v>
      </c>
      <c r="G33" s="1"/>
      <c r="H33" s="1"/>
      <c r="I33" s="158"/>
      <c r="J33" s="158"/>
      <c r="K33" s="158"/>
    </row>
    <row r="34" spans="1:14">
      <c r="A34" s="1"/>
      <c r="B34" s="23" t="s">
        <v>26</v>
      </c>
      <c r="C34" s="23" t="str">
        <f>Tr("BIN_PEAK","Peak")</f>
        <v>Peak</v>
      </c>
      <c r="D34" s="30">
        <v>0.75</v>
      </c>
      <c r="E34" s="31">
        <v>0.5</v>
      </c>
      <c r="F34" s="23">
        <f>$D$29*E34</f>
        <v>2748.2988204456096</v>
      </c>
      <c r="G34" s="1"/>
      <c r="H34" s="1"/>
      <c r="I34" s="158"/>
      <c r="J34" s="158"/>
      <c r="K34" s="158"/>
    </row>
    <row r="35" spans="1:14">
      <c r="A35" s="1"/>
      <c r="B35" s="23" t="s">
        <v>28</v>
      </c>
      <c r="C35" s="23" t="str">
        <f>Tr("BIN_LOW","Low")</f>
        <v>Low</v>
      </c>
      <c r="D35" s="30">
        <v>0.5</v>
      </c>
      <c r="E35" s="31">
        <v>0.25</v>
      </c>
      <c r="F35" s="23">
        <f>$D$29*E35</f>
        <v>1374.1494102228048</v>
      </c>
      <c r="G35" s="1"/>
      <c r="H35" s="1"/>
      <c r="I35" s="158"/>
      <c r="J35" s="158"/>
      <c r="K35" s="158"/>
    </row>
    <row r="36" spans="1:14" ht="14.4" thickBot="1">
      <c r="A36" s="1"/>
      <c r="B36" s="23" t="s">
        <v>30</v>
      </c>
      <c r="C36" s="23" t="str">
        <f>Tr("BIN_MIN","Min")</f>
        <v>Min</v>
      </c>
      <c r="D36" s="30">
        <v>0.25</v>
      </c>
      <c r="E36" s="165">
        <f>1-SUM(E33:E35)</f>
        <v>0</v>
      </c>
      <c r="F36" s="23">
        <v>0</v>
      </c>
      <c r="G36" s="1"/>
      <c r="H36" s="1"/>
      <c r="I36" s="158"/>
      <c r="J36" s="158"/>
      <c r="K36" s="158"/>
    </row>
    <row r="37" spans="1:14" ht="15" thickTop="1" thickBot="1">
      <c r="A37" s="1"/>
      <c r="B37" s="1"/>
      <c r="C37" s="1"/>
      <c r="D37" s="1"/>
      <c r="E37" s="166">
        <f>IF(SUM(E33:E35)=100%,SUM(E33:E35),"Error, must = 100%")</f>
        <v>1</v>
      </c>
      <c r="F37" s="32">
        <f>SUM(F33:F36)</f>
        <v>5496.5976408912193</v>
      </c>
      <c r="G37" s="1"/>
      <c r="H37" s="1"/>
      <c r="I37" s="158"/>
      <c r="J37" s="158"/>
      <c r="K37" s="158"/>
    </row>
    <row r="38" spans="1:14" ht="15">
      <c r="A38" s="1"/>
      <c r="B38" s="1"/>
      <c r="C38" s="1"/>
      <c r="D38" s="1"/>
      <c r="E38" s="1"/>
      <c r="F38" s="1"/>
      <c r="G38" s="1"/>
      <c r="H38" s="1"/>
      <c r="I38" s="158"/>
      <c r="J38" s="158"/>
      <c r="K38" s="160"/>
      <c r="L38" s="136"/>
    </row>
    <row r="39" spans="1:14">
      <c r="A39" s="1"/>
      <c r="B39" s="309"/>
      <c r="C39" s="309"/>
      <c r="D39" s="309"/>
      <c r="E39" s="139"/>
      <c r="F39" s="140"/>
      <c r="G39" s="1"/>
      <c r="H39" s="1"/>
      <c r="I39" s="158"/>
      <c r="J39" s="158"/>
      <c r="K39" s="161"/>
      <c r="L39" s="136"/>
    </row>
    <row r="40" spans="1:14">
      <c r="A40" s="1"/>
      <c r="B40" s="1"/>
      <c r="C40" s="1"/>
      <c r="D40" s="1"/>
      <c r="E40" s="1"/>
      <c r="F40" s="1"/>
      <c r="G40" s="1"/>
      <c r="H40" s="2"/>
      <c r="I40" s="159"/>
      <c r="J40" s="159"/>
      <c r="K40" s="162"/>
      <c r="L40" s="137"/>
      <c r="M40" s="135"/>
      <c r="N40" s="135"/>
    </row>
    <row r="41" spans="1:14">
      <c r="A41" s="1"/>
      <c r="B41" s="71"/>
      <c r="C41" s="71"/>
      <c r="D41" s="71"/>
      <c r="E41" s="310" t="str">
        <f>Tr("COOLING_DEGREE_DAYS","Cooling Degree Days")</f>
        <v>Cooling Degree Days</v>
      </c>
      <c r="F41" s="310" t="str">
        <f>Tr("HUMIDITY_ADJUSTMENT","Humidity Adjustment")</f>
        <v>Humidity Adjustment</v>
      </c>
      <c r="G41" s="303" t="str">
        <f>Tr("MULTIPLIER_WORD","Multiplier")</f>
        <v>Multiplier</v>
      </c>
      <c r="H41" s="2"/>
      <c r="I41" s="159"/>
      <c r="J41" s="159"/>
      <c r="K41" s="162"/>
      <c r="L41" s="137"/>
      <c r="M41" s="135"/>
      <c r="N41" s="135"/>
    </row>
    <row r="42" spans="1:14">
      <c r="A42" s="1"/>
      <c r="B42" s="304" t="str">
        <f>Tr("CLIMATE_REGION","Climate Region")</f>
        <v>Climate Region</v>
      </c>
      <c r="C42" s="304"/>
      <c r="D42" s="304"/>
      <c r="E42" s="311"/>
      <c r="F42" s="311"/>
      <c r="G42" s="303"/>
      <c r="H42" s="1"/>
      <c r="I42" s="158"/>
      <c r="J42" s="158"/>
      <c r="K42" s="161"/>
      <c r="L42" s="136"/>
    </row>
    <row r="43" spans="1:14">
      <c r="A43" s="1"/>
      <c r="B43" s="297" t="str">
        <f>Tr("REGION_NORTH_EAST","North East")</f>
        <v>North East</v>
      </c>
      <c r="C43" s="298"/>
      <c r="D43" s="299"/>
      <c r="E43" s="34">
        <v>1034</v>
      </c>
      <c r="F43" s="35">
        <v>0.3</v>
      </c>
      <c r="G43" s="36">
        <f t="shared" ref="G43:G54" si="0">E43/$E$54*(1+F43)</f>
        <v>0.88086500655307998</v>
      </c>
      <c r="H43" s="1"/>
      <c r="I43" s="158"/>
      <c r="J43" s="158"/>
      <c r="K43" s="161"/>
      <c r="L43" s="136"/>
    </row>
    <row r="44" spans="1:14">
      <c r="A44" s="1"/>
      <c r="B44" s="297" t="str">
        <f>Tr("REGION_CENTRAL","Central")</f>
        <v>Central</v>
      </c>
      <c r="C44" s="298"/>
      <c r="D44" s="299"/>
      <c r="E44" s="25">
        <v>1090</v>
      </c>
      <c r="F44" s="35">
        <v>0.3</v>
      </c>
      <c r="G44" s="36">
        <f t="shared" si="0"/>
        <v>0.9285714285714286</v>
      </c>
      <c r="H44" s="1"/>
      <c r="I44" s="158"/>
      <c r="J44" s="158"/>
      <c r="K44" s="161"/>
      <c r="L44" s="136"/>
    </row>
    <row r="45" spans="1:14">
      <c r="A45" s="1"/>
      <c r="B45" s="297" t="str">
        <f>Tr("REGION_EAST_NORTH_CENTRAL","East North Central")</f>
        <v>East North Central</v>
      </c>
      <c r="C45" s="298"/>
      <c r="D45" s="299"/>
      <c r="E45" s="25">
        <v>975</v>
      </c>
      <c r="F45" s="37">
        <v>0.3</v>
      </c>
      <c r="G45" s="36">
        <f t="shared" si="0"/>
        <v>0.83060288335517696</v>
      </c>
      <c r="H45" s="1"/>
      <c r="I45" s="158"/>
      <c r="J45" s="158"/>
      <c r="K45" s="161"/>
      <c r="L45" s="136"/>
    </row>
    <row r="46" spans="1:14">
      <c r="A46" s="1"/>
      <c r="B46" s="297" t="str">
        <f>Tr("REGION_WEST_NORTH_CENTRAL","West North Central")</f>
        <v>West North Central</v>
      </c>
      <c r="C46" s="298"/>
      <c r="D46" s="299"/>
      <c r="E46" s="25">
        <v>1123</v>
      </c>
      <c r="F46" s="38">
        <v>0.15</v>
      </c>
      <c r="G46" s="36">
        <f t="shared" si="0"/>
        <v>0.84629750982961982</v>
      </c>
      <c r="H46" s="141"/>
      <c r="I46" s="158"/>
      <c r="J46" s="158"/>
      <c r="K46" s="161"/>
      <c r="L46" s="136"/>
    </row>
    <row r="47" spans="1:14">
      <c r="A47" s="1"/>
      <c r="B47" s="297" t="str">
        <f>Tr("REGION_SOUTH_EAST","South East")</f>
        <v>South East</v>
      </c>
      <c r="C47" s="298"/>
      <c r="D47" s="299"/>
      <c r="E47" s="25">
        <v>2264</v>
      </c>
      <c r="F47" s="38">
        <v>0.3</v>
      </c>
      <c r="G47" s="36">
        <f t="shared" si="0"/>
        <v>1.92870249017038</v>
      </c>
      <c r="H47" s="1"/>
      <c r="I47" s="158"/>
      <c r="J47" s="158"/>
      <c r="K47" s="161"/>
      <c r="L47" s="136"/>
    </row>
    <row r="48" spans="1:14">
      <c r="A48" s="1"/>
      <c r="B48" s="297" t="str">
        <f>Tr("REGION_SOUTH","South")</f>
        <v>South</v>
      </c>
      <c r="C48" s="298"/>
      <c r="D48" s="299"/>
      <c r="E48" s="25">
        <v>2004</v>
      </c>
      <c r="F48" s="38">
        <v>0.3</v>
      </c>
      <c r="G48" s="36">
        <f t="shared" si="0"/>
        <v>1.7072083879423328</v>
      </c>
      <c r="H48" s="1"/>
      <c r="I48" s="158"/>
      <c r="J48" s="158"/>
      <c r="K48" s="161"/>
      <c r="L48" s="136"/>
    </row>
    <row r="49" spans="1:12">
      <c r="A49" s="1"/>
      <c r="B49" s="297" t="str">
        <f>Tr("REGION_SOUTH_WEST","South West ")</f>
        <v>South West</v>
      </c>
      <c r="C49" s="298"/>
      <c r="D49" s="299"/>
      <c r="E49" s="25">
        <v>2750</v>
      </c>
      <c r="F49" s="38">
        <v>0.05</v>
      </c>
      <c r="G49" s="36">
        <f t="shared" si="0"/>
        <v>1.8922018348623852</v>
      </c>
      <c r="H49" s="1"/>
      <c r="I49" s="158"/>
      <c r="J49" s="158"/>
      <c r="K49" s="161"/>
      <c r="L49" s="136"/>
    </row>
    <row r="50" spans="1:12">
      <c r="A50" s="1"/>
      <c r="B50" s="297" t="str">
        <f>Tr("REGION_MOUNTAIN","Mountain")</f>
        <v>Mountain</v>
      </c>
      <c r="C50" s="298"/>
      <c r="D50" s="299"/>
      <c r="E50" s="39">
        <v>1450</v>
      </c>
      <c r="F50" s="35">
        <v>0.05</v>
      </c>
      <c r="G50" s="36">
        <f t="shared" si="0"/>
        <v>0.99770642201834869</v>
      </c>
      <c r="H50" s="1"/>
      <c r="I50" s="158"/>
      <c r="J50" s="158"/>
      <c r="K50" s="161"/>
      <c r="L50" s="136"/>
    </row>
    <row r="51" spans="1:12">
      <c r="A51" s="1"/>
      <c r="B51" s="297" t="str">
        <f>Tr("REGION_NORTH_WEST","North West")</f>
        <v>North West</v>
      </c>
      <c r="C51" s="298"/>
      <c r="D51" s="299"/>
      <c r="E51" s="25">
        <v>720</v>
      </c>
      <c r="F51" s="35">
        <v>0.05</v>
      </c>
      <c r="G51" s="36">
        <f t="shared" si="0"/>
        <v>0.49541284403669728</v>
      </c>
      <c r="H51" s="1"/>
      <c r="I51" s="158"/>
      <c r="J51" s="158"/>
      <c r="K51" s="161"/>
      <c r="L51" s="136"/>
    </row>
    <row r="52" spans="1:12">
      <c r="A52" s="1"/>
      <c r="B52" s="297" t="str">
        <f>Tr("REGION_WEST","West  ")</f>
        <v>West</v>
      </c>
      <c r="C52" s="298"/>
      <c r="D52" s="299"/>
      <c r="E52" s="25">
        <v>1850</v>
      </c>
      <c r="F52" s="40">
        <v>0.05</v>
      </c>
      <c r="G52" s="41">
        <f t="shared" si="0"/>
        <v>1.272935779816514</v>
      </c>
      <c r="H52" s="1"/>
      <c r="I52" s="158"/>
      <c r="J52" s="158"/>
      <c r="K52" s="161"/>
      <c r="L52" s="136"/>
    </row>
    <row r="53" spans="1:12" ht="14.4" thickBot="1">
      <c r="A53" s="1"/>
      <c r="B53" t="str">
        <f>Tr("REGION_CUSTOM","Custom Region")</f>
        <v>Custom Region</v>
      </c>
      <c r="C53"/>
      <c r="D53"/>
      <c r="E53" s="42">
        <v>800</v>
      </c>
      <c r="F53" s="43">
        <v>1E-3</v>
      </c>
      <c r="G53" s="44">
        <f t="shared" si="0"/>
        <v>0.52477064220183478</v>
      </c>
      <c r="H53" s="1"/>
      <c r="I53" s="158"/>
      <c r="J53" s="158"/>
      <c r="K53" s="161"/>
      <c r="L53" s="136"/>
    </row>
    <row r="54" spans="1:12" ht="15" thickTop="1" thickBot="1">
      <c r="A54" s="1"/>
      <c r="B54" s="300" t="str">
        <f>Tr("REGION_AVERAGE_US","Average US")</f>
        <v>Average US</v>
      </c>
      <c r="C54" s="301"/>
      <c r="D54" s="302"/>
      <c r="E54" s="32">
        <f>SUM(E43:E52)/10</f>
        <v>1526</v>
      </c>
      <c r="F54" s="45">
        <f>SUM(F43:F52)/10</f>
        <v>0.185</v>
      </c>
      <c r="G54" s="46">
        <f t="shared" si="0"/>
        <v>1.1850000000000001</v>
      </c>
      <c r="H54" s="1"/>
      <c r="I54" s="158"/>
      <c r="J54" s="158"/>
      <c r="K54" s="161"/>
    </row>
    <row r="55" spans="1:12">
      <c r="A55" s="1"/>
      <c r="B55" s="1"/>
      <c r="C55" s="1"/>
      <c r="D55" s="1"/>
      <c r="E55" s="1"/>
      <c r="F55" s="1"/>
      <c r="G55" s="1"/>
      <c r="H55" s="1"/>
      <c r="I55" s="158"/>
      <c r="J55" s="158"/>
      <c r="K55" s="158"/>
    </row>
    <row r="56" spans="1:12">
      <c r="A56" s="1"/>
      <c r="B56" s="296"/>
      <c r="C56" s="296"/>
      <c r="D56" s="138"/>
      <c r="E56" s="138"/>
      <c r="F56" s="157" t="str">
        <f>Tr("SELECTED_VALUE","Selected Value")</f>
        <v>Selected Value</v>
      </c>
      <c r="G56" s="155">
        <f>VLOOKUP(E30,B:G,6,FALSE)</f>
        <v>0.88086500655307998</v>
      </c>
      <c r="H56" s="1"/>
      <c r="I56" s="158"/>
      <c r="J56" s="158"/>
      <c r="K56" s="158"/>
    </row>
    <row r="57" spans="1:12">
      <c r="A57" s="1"/>
      <c r="B57" s="1"/>
      <c r="C57" s="1"/>
      <c r="D57" s="1"/>
      <c r="E57" s="1"/>
      <c r="F57" s="1"/>
      <c r="G57" s="1"/>
      <c r="H57" s="1"/>
      <c r="I57" s="158"/>
      <c r="J57" s="158"/>
      <c r="K57" s="158"/>
    </row>
    <row r="58" spans="1:12">
      <c r="A58" s="1"/>
      <c r="B58" s="1"/>
      <c r="C58" s="1"/>
      <c r="D58" s="1"/>
      <c r="E58" s="1"/>
      <c r="F58" s="1"/>
      <c r="G58" s="1"/>
      <c r="H58" s="1"/>
      <c r="I58" s="158"/>
      <c r="J58" s="158"/>
      <c r="K58" s="158"/>
    </row>
    <row r="59" spans="1:12">
      <c r="A59" s="1"/>
      <c r="B59" s="1"/>
      <c r="C59" s="1"/>
      <c r="D59" s="1"/>
      <c r="E59" s="1"/>
      <c r="F59" s="1"/>
      <c r="G59" s="1"/>
      <c r="H59" s="1"/>
      <c r="I59" s="158"/>
      <c r="J59" s="158"/>
      <c r="K59" s="158"/>
    </row>
    <row r="60" spans="1:12">
      <c r="A60" s="1"/>
      <c r="B60" s="1"/>
      <c r="C60" s="1"/>
      <c r="D60" s="1"/>
      <c r="E60" s="1"/>
      <c r="F60" s="1"/>
      <c r="G60" s="1"/>
      <c r="H60" s="1"/>
      <c r="I60" s="158"/>
      <c r="J60" s="158"/>
      <c r="K60" s="158"/>
    </row>
    <row r="61" spans="1:12">
      <c r="A61" s="1"/>
      <c r="B61" s="1"/>
      <c r="C61" s="1"/>
      <c r="D61" s="1"/>
      <c r="E61" s="1"/>
      <c r="F61" s="1"/>
      <c r="G61" s="1"/>
      <c r="H61" s="1"/>
      <c r="I61" s="158"/>
      <c r="J61" s="158"/>
      <c r="K61" s="158"/>
    </row>
    <row r="62" spans="1:12">
      <c r="A62" s="1"/>
      <c r="B62" s="295" t="str">
        <f>Tr("INVESTMENT_COST_LABEL","Investment Cost (Energy Valve + Installation)")</f>
        <v>Investment Cost (Energy Valve + Installation)</v>
      </c>
      <c r="C62" s="295"/>
      <c r="D62" s="295"/>
      <c r="E62" s="295"/>
      <c r="F62" s="202">
        <v>4000</v>
      </c>
      <c r="G62" s="203" t="s">
        <v>750</v>
      </c>
      <c r="H62" s="204"/>
      <c r="I62" s="158"/>
      <c r="J62" s="158"/>
      <c r="K62" s="158"/>
    </row>
    <row r="63" spans="1:12">
      <c r="A63" s="1"/>
      <c r="B63" s="295" t="str">
        <f>Tr("DISCOUNT_RATE_LABEL","Discount Rate")</f>
        <v>Discount Rate</v>
      </c>
      <c r="C63" s="295"/>
      <c r="D63" s="295"/>
      <c r="E63" s="204"/>
      <c r="F63" s="205">
        <v>0.04</v>
      </c>
      <c r="G63" s="215" t="s">
        <v>11</v>
      </c>
      <c r="H63" s="204"/>
      <c r="I63" s="158"/>
      <c r="J63" s="158"/>
      <c r="K63" s="158"/>
    </row>
    <row r="64" spans="1:12">
      <c r="A64" s="1"/>
      <c r="B64" s="257" t="str">
        <f>Tr("REBATE_MEASURE_LIFE","Estimated Measure Life")</f>
        <v>Estimated Measure Life</v>
      </c>
      <c r="C64" s="204"/>
      <c r="D64" s="204"/>
      <c r="E64" s="204"/>
      <c r="F64" s="258">
        <v>15</v>
      </c>
      <c r="G64" s="259" t="str">
        <f>Tr("YEARS_WORD","years")</f>
        <v>years</v>
      </c>
      <c r="H64" s="204"/>
      <c r="I64" s="158"/>
      <c r="J64" s="158"/>
      <c r="K64" s="158"/>
    </row>
    <row r="65" spans="1:11">
      <c r="A65" s="1"/>
      <c r="B65" s="204"/>
      <c r="C65" s="207"/>
      <c r="D65" s="207"/>
      <c r="E65" s="208" t="str">
        <f>"5 "&amp;Tr("YEARS_WORD","years")</f>
        <v>5 years</v>
      </c>
      <c r="F65" s="208" t="str">
        <f>"10 "&amp;Tr("YEARS_WORD","years")</f>
        <v>10 years</v>
      </c>
      <c r="G65" s="208" t="str">
        <f>"15 "&amp;Tr("YEARS_WORD","years")</f>
        <v>15 years</v>
      </c>
      <c r="H65" s="208" t="str">
        <f>"20 "&amp;Tr("YEARS_WORD","years")</f>
        <v>20 years</v>
      </c>
      <c r="I65" s="158"/>
      <c r="J65" s="158"/>
      <c r="K65" s="158"/>
    </row>
    <row r="66" spans="1:11">
      <c r="A66" s="1"/>
      <c r="B66" s="295" t="str">
        <f>Tr("NPV_LABEL","Net Present Value (NPV)")</f>
        <v>Net Present Value (NPV)</v>
      </c>
      <c r="C66" s="295"/>
      <c r="D66" s="295"/>
      <c r="E66" s="209">
        <f>-$F$62+Results!$E$28*IF($F$63=0,5,(1-(1+$F$63)^-5)/$F$63)</f>
        <v>3487.9802987676776</v>
      </c>
      <c r="F66" s="209">
        <f>-$F$62+Results!$E$28*IF($F$63=0,10,(1-(1+$F$63)^-10)/$F$63)</f>
        <v>9642.554281204817</v>
      </c>
      <c r="G66" s="209">
        <f>-$F$62+Results!$E$28*IF($F$63=0,15,(1-(1+$F$63)^-15)/$F$63)</f>
        <v>14701.165467925755</v>
      </c>
      <c r="H66" s="209">
        <f>-$F$62+Results!$E$28*IF($F$63=0,20,(1-(1+$F$63)^-20)/$F$63)</f>
        <v>18858.975124847784</v>
      </c>
      <c r="I66" s="158"/>
      <c r="J66" s="158"/>
      <c r="K66" s="158"/>
    </row>
    <row r="67" spans="1:11">
      <c r="A67" s="1"/>
      <c r="B67" s="295" t="str">
        <f>Tr("SIR_LABEL","Savings-Investment Ratio (SIR)")</f>
        <v>Savings-Investment Ratio (SIR)</v>
      </c>
      <c r="C67" s="295"/>
      <c r="D67" s="295"/>
      <c r="E67" s="210">
        <f>IFERROR((Results!$E$28*IF($F$63=0,5,(1-(1+$F$63)^-5)/$F$63))/$F$62,"")</f>
        <v>1.8719950746919194</v>
      </c>
      <c r="F67" s="210">
        <f>IFERROR((Results!$E$28*IF($F$63=0,10,(1-(1+$F$63)^-10)/$F$63))/$F$62,"")</f>
        <v>3.4106385703012041</v>
      </c>
      <c r="G67" s="210">
        <f>IFERROR((Results!$E$28*IF($F$63=0,15,(1-(1+$F$63)^-15)/$F$63))/$F$62,"")</f>
        <v>4.6752913669814387</v>
      </c>
      <c r="H67" s="210">
        <f>IFERROR((Results!$E$28*IF($F$63=0,20,(1-(1+$F$63)^-20)/$F$63))/$F$62,"")</f>
        <v>5.7147437812119461</v>
      </c>
      <c r="I67" s="158"/>
      <c r="J67" s="158"/>
      <c r="K67" s="158"/>
    </row>
    <row r="68" spans="1:11">
      <c r="A68" s="1"/>
      <c r="B68" s="295" t="str">
        <f>Tr("SIMPLE_PAYBACK_LABEL","Simple Payback Period")</f>
        <v>Simple Payback Period</v>
      </c>
      <c r="C68" s="295"/>
      <c r="D68" s="295"/>
      <c r="E68" s="203" t="str">
        <f>IF($F$62=0,"",IFERROR(TEXT($F$62/Results!$E$28,"0.0")&amp;" "&amp;Tr("YEARS_WORD","years"),""))</f>
        <v>2.4 years</v>
      </c>
      <c r="F68" s="206"/>
      <c r="G68" s="206"/>
      <c r="H68" s="206"/>
      <c r="I68" s="1"/>
      <c r="J68" s="1"/>
      <c r="K68" s="1"/>
    </row>
    <row r="69" spans="1:11">
      <c r="A69" s="1"/>
      <c r="B69" s="1"/>
      <c r="C69" s="1"/>
      <c r="D69" s="1"/>
      <c r="E69" s="1"/>
      <c r="F69" s="1"/>
      <c r="G69" s="1"/>
      <c r="H69" s="1"/>
      <c r="I69" s="1"/>
      <c r="J69" s="1"/>
      <c r="K69" s="1"/>
    </row>
    <row r="70" spans="1:11">
      <c r="A70" s="1"/>
      <c r="B70" s="1"/>
      <c r="C70" s="1"/>
      <c r="D70" s="1"/>
      <c r="E70" s="1"/>
      <c r="F70" s="1"/>
      <c r="G70" s="1"/>
      <c r="H70" s="1"/>
      <c r="I70" s="1"/>
      <c r="J70" s="1"/>
      <c r="K70" s="1"/>
    </row>
    <row r="71" spans="1:11">
      <c r="A71" s="1"/>
      <c r="B71" s="1"/>
      <c r="C71" s="1"/>
      <c r="D71" s="1"/>
      <c r="E71" s="1"/>
      <c r="F71" s="1"/>
      <c r="G71" s="1"/>
      <c r="H71" s="1"/>
      <c r="I71" s="1"/>
      <c r="J71" s="1"/>
      <c r="K71" s="1"/>
    </row>
    <row r="72" spans="1:11">
      <c r="A72" s="1"/>
      <c r="B72" s="1"/>
      <c r="C72" s="1"/>
      <c r="D72" s="1"/>
      <c r="E72" s="1"/>
      <c r="F72" s="1"/>
      <c r="G72" s="1"/>
      <c r="H72" s="1"/>
      <c r="I72" s="212"/>
      <c r="J72" s="212"/>
      <c r="K72" s="212"/>
    </row>
    <row r="73" spans="1:11">
      <c r="A73" s="1"/>
      <c r="B73" s="1"/>
      <c r="C73" s="1"/>
      <c r="D73" s="1"/>
      <c r="E73" s="1"/>
      <c r="F73" s="1"/>
      <c r="G73" s="1"/>
      <c r="H73" s="1"/>
      <c r="I73" s="212"/>
      <c r="J73" s="212"/>
      <c r="K73" s="212"/>
    </row>
    <row r="74" spans="1:11">
      <c r="A74" s="1"/>
      <c r="B74" s="1"/>
      <c r="C74" s="1"/>
      <c r="D74" s="1"/>
      <c r="E74" s="1"/>
      <c r="F74" s="1"/>
      <c r="G74" s="1"/>
      <c r="H74" s="1"/>
      <c r="I74" s="1"/>
      <c r="J74" s="1"/>
      <c r="K74" s="1"/>
    </row>
    <row r="75" spans="1:11">
      <c r="A75" s="1"/>
      <c r="B75" s="1"/>
      <c r="C75" s="1"/>
      <c r="D75" s="1"/>
      <c r="E75" s="1"/>
      <c r="F75" s="1"/>
      <c r="G75" s="1"/>
      <c r="H75" s="1"/>
      <c r="I75" s="1"/>
      <c r="J75" s="1"/>
      <c r="K75" s="1"/>
    </row>
    <row r="76" spans="1:11">
      <c r="A76" s="1"/>
      <c r="B76" s="1"/>
      <c r="C76" s="1"/>
      <c r="D76" s="1"/>
      <c r="E76" s="1"/>
      <c r="F76" s="1"/>
      <c r="G76" s="1"/>
      <c r="H76" s="1"/>
      <c r="I76" s="1"/>
      <c r="J76" s="1"/>
      <c r="K76" s="1"/>
    </row>
    <row r="77" spans="1:11">
      <c r="A77" s="1"/>
      <c r="B77" s="1"/>
      <c r="C77" s="1"/>
      <c r="D77" s="1"/>
      <c r="E77" s="1"/>
      <c r="F77" s="1"/>
      <c r="G77" s="1"/>
      <c r="H77" s="1"/>
      <c r="I77" s="1"/>
      <c r="J77" s="1"/>
      <c r="K77" s="1"/>
    </row>
    <row r="78" spans="1:11">
      <c r="A78" s="1"/>
      <c r="B78" s="1"/>
      <c r="C78" s="1"/>
      <c r="D78" s="1"/>
      <c r="E78" s="1"/>
      <c r="F78" s="211"/>
      <c r="G78" s="1"/>
      <c r="H78" s="1"/>
      <c r="I78" s="1"/>
      <c r="J78" s="1"/>
      <c r="K78" s="1"/>
    </row>
    <row r="79" spans="1:11">
      <c r="A79" s="1"/>
      <c r="B79" s="1"/>
      <c r="C79" s="1"/>
      <c r="D79" s="1"/>
      <c r="E79" s="1"/>
      <c r="F79" s="1"/>
      <c r="G79" s="1"/>
      <c r="H79" s="1"/>
      <c r="I79" s="1"/>
      <c r="J79" s="1"/>
      <c r="K79" s="1"/>
    </row>
    <row r="80" spans="1:11">
      <c r="A80" s="1"/>
      <c r="B80" s="1"/>
      <c r="C80" s="1"/>
      <c r="D80" s="1"/>
      <c r="E80" s="1"/>
      <c r="F80" s="1"/>
      <c r="G80" s="1"/>
      <c r="H80" s="1"/>
      <c r="I80" s="1"/>
      <c r="J80" s="1"/>
      <c r="K80" s="1"/>
    </row>
    <row r="81" spans="1:11">
      <c r="A81" s="1"/>
      <c r="B81" s="1"/>
      <c r="C81" s="1"/>
      <c r="D81" s="1"/>
      <c r="E81" s="1"/>
      <c r="F81" s="1"/>
      <c r="G81" s="1"/>
      <c r="H81" s="1"/>
      <c r="I81" s="1"/>
      <c r="J81" s="1"/>
      <c r="K81" s="1"/>
    </row>
    <row r="82" spans="1:11">
      <c r="A82" s="1"/>
      <c r="B82" s="1"/>
      <c r="C82" s="1"/>
      <c r="D82" s="1"/>
      <c r="E82" s="1"/>
      <c r="F82" s="1"/>
      <c r="G82" s="1"/>
      <c r="H82" s="1"/>
      <c r="I82" s="1"/>
      <c r="J82" s="1"/>
      <c r="K82" s="1"/>
    </row>
    <row r="83" spans="1:11">
      <c r="A83" s="1"/>
      <c r="B83" s="1"/>
      <c r="C83" s="1"/>
      <c r="D83" s="1"/>
      <c r="E83" s="1"/>
      <c r="F83" s="1"/>
      <c r="G83" s="1"/>
      <c r="H83" s="1"/>
      <c r="I83" s="1"/>
      <c r="J83" s="1"/>
      <c r="K83" s="1"/>
    </row>
    <row r="84" spans="1:11">
      <c r="A84" s="1"/>
      <c r="B84" s="1"/>
      <c r="C84" s="1"/>
      <c r="D84" s="1"/>
      <c r="E84" s="1"/>
      <c r="F84" s="1"/>
      <c r="G84" s="1"/>
      <c r="H84" s="1"/>
      <c r="I84" s="1"/>
      <c r="J84" s="1"/>
      <c r="K84" s="1"/>
    </row>
    <row r="85" spans="1:11">
      <c r="A85" s="1"/>
      <c r="B85" s="1"/>
      <c r="C85" s="1"/>
      <c r="D85" s="1"/>
      <c r="E85" s="1"/>
      <c r="F85" s="1"/>
      <c r="G85" s="1"/>
      <c r="H85" s="1"/>
      <c r="I85" s="1"/>
      <c r="J85" s="1"/>
      <c r="K85" s="1"/>
    </row>
    <row r="86" spans="1:11">
      <c r="A86" s="1"/>
      <c r="B86" s="1"/>
      <c r="C86" s="1"/>
      <c r="D86" s="1"/>
      <c r="E86" s="1"/>
      <c r="F86" s="1"/>
      <c r="G86" s="1"/>
      <c r="H86" s="1"/>
      <c r="I86" s="1"/>
      <c r="J86" s="1"/>
      <c r="K86" s="1"/>
    </row>
    <row r="87" spans="1:11">
      <c r="A87" s="1"/>
      <c r="B87" s="1"/>
      <c r="C87" s="1"/>
      <c r="D87" s="1"/>
      <c r="E87" s="1"/>
      <c r="F87" s="1"/>
      <c r="G87" s="1"/>
      <c r="H87" s="1"/>
      <c r="I87" s="1"/>
      <c r="J87" s="1"/>
      <c r="K87" s="1"/>
    </row>
    <row r="88" spans="1:11">
      <c r="A88" s="1"/>
      <c r="B88" s="1"/>
      <c r="C88" s="1"/>
      <c r="D88" s="1"/>
      <c r="E88" s="1"/>
      <c r="F88" s="1"/>
      <c r="G88" s="1"/>
      <c r="H88" s="1"/>
      <c r="I88" s="1"/>
      <c r="J88" s="1"/>
      <c r="K88" s="1"/>
    </row>
    <row r="89" spans="1:11">
      <c r="A89" s="1"/>
      <c r="B89" s="1"/>
      <c r="C89" s="1"/>
      <c r="D89" s="1"/>
      <c r="E89" s="1"/>
      <c r="F89" s="1"/>
      <c r="G89" s="1"/>
      <c r="H89" s="1"/>
      <c r="I89" s="1"/>
      <c r="J89" s="1"/>
      <c r="K89" s="1"/>
    </row>
    <row r="90" spans="1:11">
      <c r="A90" s="1"/>
      <c r="B90" s="1"/>
      <c r="C90" s="1"/>
      <c r="D90" s="1"/>
      <c r="E90" s="1"/>
      <c r="F90" s="1"/>
      <c r="G90" s="1"/>
      <c r="H90" s="1"/>
      <c r="I90" s="1"/>
      <c r="J90" s="1"/>
      <c r="K90" s="1"/>
    </row>
    <row r="91" spans="1:11">
      <c r="A91" s="1"/>
      <c r="B91" s="1"/>
      <c r="C91" s="1"/>
      <c r="D91" s="1"/>
      <c r="E91" s="1"/>
      <c r="F91" s="1"/>
      <c r="G91" s="1"/>
      <c r="H91" s="1"/>
      <c r="I91" s="1"/>
      <c r="J91" s="1"/>
      <c r="K91" s="1"/>
    </row>
    <row r="92" spans="1:11">
      <c r="A92" s="1"/>
      <c r="B92" s="1"/>
      <c r="C92" s="1"/>
      <c r="D92" s="1"/>
      <c r="E92" s="1"/>
      <c r="F92" s="1"/>
      <c r="G92" s="1"/>
      <c r="H92" s="1"/>
      <c r="I92" s="1"/>
      <c r="J92" s="1"/>
      <c r="K92" s="1"/>
    </row>
    <row r="93" spans="1:11">
      <c r="A93" s="1"/>
      <c r="B93" s="1"/>
      <c r="C93" s="1"/>
      <c r="D93" s="1"/>
      <c r="E93" s="1"/>
      <c r="F93" s="1"/>
      <c r="G93" s="1"/>
      <c r="H93" s="1"/>
      <c r="I93" s="1"/>
      <c r="J93" s="1"/>
      <c r="K93" s="1"/>
    </row>
    <row r="94" spans="1:11">
      <c r="A94" s="1"/>
      <c r="B94" s="1"/>
      <c r="C94" s="1"/>
      <c r="D94" s="1"/>
      <c r="E94" s="1"/>
      <c r="F94" s="1"/>
      <c r="G94" s="1"/>
      <c r="H94" s="1"/>
      <c r="I94" s="1"/>
      <c r="J94" s="1"/>
      <c r="K94" s="1"/>
    </row>
    <row r="95" spans="1:11">
      <c r="A95" s="1"/>
      <c r="B95" s="1"/>
      <c r="C95" s="1"/>
      <c r="D95" s="1"/>
      <c r="E95" s="1"/>
      <c r="F95" s="1"/>
      <c r="G95" s="1"/>
      <c r="H95" s="1"/>
      <c r="I95" s="1"/>
      <c r="J95" s="1"/>
      <c r="K95" s="1"/>
    </row>
    <row r="96" spans="1:11">
      <c r="A96" s="1"/>
      <c r="B96" s="1"/>
      <c r="C96" s="1"/>
      <c r="D96" s="1"/>
      <c r="E96" s="1"/>
      <c r="F96" s="1"/>
      <c r="G96" s="1"/>
      <c r="H96" s="1"/>
      <c r="I96" s="1"/>
      <c r="J96" s="1"/>
      <c r="K96" s="1"/>
    </row>
    <row r="97" spans="1:11">
      <c r="A97" s="1"/>
      <c r="B97" s="1"/>
      <c r="C97" s="1"/>
      <c r="D97" s="1"/>
      <c r="E97" s="1"/>
      <c r="F97" s="1"/>
      <c r="G97" s="1"/>
      <c r="H97" s="1"/>
      <c r="I97" s="1"/>
      <c r="J97" s="1"/>
      <c r="K97" s="1"/>
    </row>
    <row r="98" spans="1:11">
      <c r="A98" s="1"/>
      <c r="B98" s="1"/>
      <c r="C98" s="1"/>
      <c r="D98" s="1"/>
      <c r="E98" s="1"/>
      <c r="F98" s="1"/>
      <c r="G98" s="1"/>
      <c r="H98" s="1"/>
      <c r="I98" s="1"/>
      <c r="J98" s="1"/>
      <c r="K98" s="1"/>
    </row>
    <row r="99" spans="1:11">
      <c r="A99" s="1"/>
      <c r="B99" s="1"/>
      <c r="C99" s="1"/>
      <c r="D99" s="1"/>
      <c r="E99" s="1"/>
      <c r="F99" s="1"/>
      <c r="G99" s="1"/>
      <c r="H99" s="1"/>
      <c r="I99" s="1"/>
      <c r="J99" s="1"/>
      <c r="K99" s="1"/>
    </row>
    <row r="100" spans="1:11">
      <c r="A100" s="1"/>
      <c r="B100" s="1"/>
      <c r="C100" s="1"/>
      <c r="D100" s="1"/>
      <c r="E100" s="1"/>
      <c r="F100" s="1"/>
      <c r="G100" s="1"/>
      <c r="H100" s="1"/>
      <c r="I100" s="1"/>
      <c r="J100" s="1"/>
      <c r="K100" s="1"/>
    </row>
    <row r="101" spans="1:11">
      <c r="A101" s="1"/>
      <c r="B101" s="1"/>
      <c r="C101" s="1"/>
      <c r="D101" s="1"/>
      <c r="E101" s="1"/>
      <c r="F101" s="1"/>
      <c r="G101" s="1"/>
      <c r="H101" s="1"/>
      <c r="I101" s="1"/>
      <c r="J101" s="1"/>
      <c r="K101" s="1"/>
    </row>
    <row r="102" spans="1:11">
      <c r="A102" s="1"/>
      <c r="B102" s="1"/>
      <c r="C102" s="1"/>
      <c r="D102" s="1"/>
      <c r="E102" s="1"/>
      <c r="F102" s="1"/>
      <c r="G102" s="1"/>
      <c r="H102" s="1"/>
      <c r="I102" s="1"/>
      <c r="J102" s="1"/>
      <c r="K102" s="1"/>
    </row>
  </sheetData>
  <sheetProtection algorithmName="SHA-512" hashValue="sCTGmkIgK1L/rtATZ6VUseOMAnprsSUffpUn4zH5DZXQJdFV0oNqGkES6DZgLr/rK5ApdtUUDcC6N47QYXT7iA==" saltValue="68h+7BndcKB/dXEDmRW2hA==" spinCount="100000" sheet="1" objects="1" scenarios="1"/>
  <mergeCells count="26">
    <mergeCell ref="B10:E10"/>
    <mergeCell ref="B30:C30"/>
    <mergeCell ref="B39:D39"/>
    <mergeCell ref="E41:E42"/>
    <mergeCell ref="F41:F42"/>
    <mergeCell ref="B54:D54"/>
    <mergeCell ref="B63:D63"/>
    <mergeCell ref="B66:D66"/>
    <mergeCell ref="G41:G42"/>
    <mergeCell ref="B42:D42"/>
    <mergeCell ref="B5:E5"/>
    <mergeCell ref="B6:E6"/>
    <mergeCell ref="B67:D67"/>
    <mergeCell ref="B68:D68"/>
    <mergeCell ref="B62:E62"/>
    <mergeCell ref="B56:C56"/>
    <mergeCell ref="B43:D43"/>
    <mergeCell ref="B44:D44"/>
    <mergeCell ref="B45:D45"/>
    <mergeCell ref="B46:D46"/>
    <mergeCell ref="B47:D47"/>
    <mergeCell ref="B48:D48"/>
    <mergeCell ref="B49:D49"/>
    <mergeCell ref="B50:D50"/>
    <mergeCell ref="B51:D51"/>
    <mergeCell ref="B52:D52"/>
  </mergeCells>
  <dataValidations count="19">
    <dataValidation type="decimal" operator="greaterThan" allowBlank="1" showInputMessage="1" showErrorMessage="1" errorTitle="Invalid Entry" error="Value must be greater than 0." promptTitle="IPLV" sqref="F16" xr:uid="{781E5B3A-7408-463F-9651-CAD55D45FDDA}">
      <formula1>0</formula1>
    </dataValidation>
    <dataValidation type="decimal" allowBlank="1" showInputMessage="1" showErrorMessage="1" errorTitle="Invalid Entry" error="Value must be greater than 0 and less than or equal to 24." promptTitle="Operating Hours" sqref="F13" xr:uid="{189FC1B8-0748-4F61-BD9A-2B65AC78EF37}">
      <formula1>0</formula1>
      <formula2>24</formula2>
    </dataValidation>
    <dataValidation type="decimal" allowBlank="1" showInputMessage="1" showErrorMessage="1" errorTitle="Invalid Entry" error="Value must be greater than 0 and less than or equal to 7." promptTitle="Operating Days" sqref="F14" xr:uid="{B1EC174E-4832-49E2-8822-A0D66402D36D}">
      <formula1>0</formula1>
      <formula2>7</formula2>
    </dataValidation>
    <dataValidation type="decimal" allowBlank="1" showInputMessage="1" showErrorMessage="1" errorTitle="Invalid Entry" error="Value must be greater than 1 and less than 99." promptTitle="IPLV" sqref="F17" xr:uid="{44577A0D-C7B8-4E6B-BB17-000EEC24536B}">
      <formula1>1</formula1>
      <formula2>99</formula2>
    </dataValidation>
    <dataValidation type="decimal" operator="greaterThan" allowBlank="1" showInputMessage="1" showErrorMessage="1" errorTitle="Invalid Entry" error="Value must be greater than Actual Delta T by at least 3 degrees." promptTitle="IPLV" sqref="F21:F24" xr:uid="{7367AED9-B15C-4AEE-89E6-581D83EDED79}">
      <formula1>F20+2</formula1>
    </dataValidation>
    <dataValidation type="list" allowBlank="1" showInputMessage="1" showErrorMessage="1" sqref="E30" xr:uid="{DB374700-1AA8-4B4E-AA21-69A2D83869FD}">
      <formula1>$B$43:$B$54</formula1>
    </dataValidation>
    <dataValidation type="decimal" allowBlank="1" showInputMessage="1" showErrorMessage="1" errorTitle="Invalid Entry" error="Value must be greater than 0.01% and less than or equal to 99%." sqref="F53" xr:uid="{86B9D674-0AB0-4EF3-974F-33C4ACA487AF}">
      <formula1>0.0001</formula1>
      <formula2>0.99</formula2>
    </dataValidation>
    <dataValidation type="decimal" allowBlank="1" showInputMessage="1" showErrorMessage="1" errorTitle="Invalid Entry" error="Value must be greater than 0 and less than or equal to 52." promptTitle="Operating Weeks" sqref="F15" xr:uid="{FDC10144-BA92-49BD-B6A6-50BF5E8525E1}">
      <formula1>1</formula1>
      <formula2>52</formula2>
    </dataValidation>
    <dataValidation type="decimal" operator="equal" allowBlank="1" showInputMessage="1" showErrorMessage="1" errorTitle="Invalid Entry" error="Value must equal 1." promptTitle="Number of Coils" sqref="F12" xr:uid="{DD19438E-46D0-4C55-B4AC-66B26192288E}">
      <formula1>1</formula1>
    </dataValidation>
    <dataValidation type="decimal" operator="greaterThan" allowBlank="1" showInputMessage="1" showErrorMessage="1" errorTitle="Invalid Entry" error="Value must be greater than 0." promptTitle="Design Coil Load" sqref="F11" xr:uid="{9E4AE77C-58C5-4D92-8F7E-94314E2DC7CA}">
      <formula1>0</formula1>
    </dataValidation>
    <dataValidation type="decimal" operator="greaterThan" allowBlank="1" showInputMessage="1" showErrorMessage="1" errorTitle="Invalid Entry" error="Value must be greater than 0." promptTitle="Electricity Costs" sqref="F10" xr:uid="{6FC0AA53-917A-4DD6-B2C5-2579691C9E31}">
      <formula1>0</formula1>
    </dataValidation>
    <dataValidation type="list" allowBlank="1" showInputMessage="1" showErrorMessage="1" sqref="F5" xr:uid="{CD0D8628-02FA-462C-AAD3-9F520C11DF0A}">
      <formula1>"English,Español,Português,Français"</formula1>
    </dataValidation>
    <dataValidation type="list" allowBlank="1" showInputMessage="1" showErrorMessage="1" sqref="F6" xr:uid="{1111EF91-B2E5-4EA9-AE40-2A652BABB4B6}">
      <formula1>"Metric,US"</formula1>
    </dataValidation>
    <dataValidation type="decimal" allowBlank="1" showInputMessage="1" showErrorMessage="1" errorTitle="Invalid value" error="Design Delta T is outside the allowed range for the selected unit system." sqref="F18" xr:uid="{45C28022-CC73-477E-B495-A8CC6D685C48}">
      <formula1>DT_MIN_BOUND</formula1>
      <formula2>DT_MAX_BOUND</formula2>
    </dataValidation>
    <dataValidation type="decimal" operator="lessThanOrEqual" allowBlank="1" showInputMessage="1" showErrorMessage="1" errorTitle="Invalid value" error="Actual Delta T must be at least one step below Future Delta T." sqref="F19" xr:uid="{0D4E5EF9-B574-43CC-9D44-EF06831904F6}">
      <formula1>$F$20-DT_GAP</formula1>
    </dataValidation>
    <dataValidation type="decimal" operator="greaterThanOrEqual" allowBlank="1" showInputMessage="1" showErrorMessage="1" errorTitle="Invalid value" error="Future Delta T must be at least one step above Actual Delta T." sqref="F20" xr:uid="{73755D59-2240-45AB-9ED1-295DD1F1FA21}">
      <formula1>$F$19+DT_GAP</formula1>
    </dataValidation>
    <dataValidation type="decimal" allowBlank="1" showInputMessage="1" showErrorMessage="1" errorTitle="Invalid value" error="Measure life must be between 1 and 50 years." sqref="F64" xr:uid="{FB923EF8-E43D-4A16-9207-8A9D9C184BA8}">
      <formula1>1</formula1>
      <formula2>50</formula2>
    </dataValidation>
    <dataValidation type="decimal" operator="greaterThanOrEqual" allowBlank="1" showInputMessage="1" showErrorMessage="1" error="Investment Cost cannot be negative." sqref="F62" xr:uid="{A5E60D64-F3A3-4604-A27C-929CD7837EF2}">
      <formula1>0</formula1>
    </dataValidation>
    <dataValidation type="decimal" allowBlank="1" showInputMessage="1" showErrorMessage="1" error="Discount Rate must be between 0% and 50%." sqref="F63" xr:uid="{CD61AEB9-3F2A-4E2E-A2DF-2240FC3584CD}">
      <formula1>0</formula1>
      <formula2>0.5</formula2>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D93D8E-2AA7-4C43-9CAF-FF4E8B3DBB9B}">
  <sheetPr codeName="Sheet52">
    <tabColor rgb="FFFF6600"/>
  </sheetPr>
  <dimension ref="B1:AA95"/>
  <sheetViews>
    <sheetView showGridLines="0" zoomScale="90" zoomScaleNormal="90" workbookViewId="0">
      <pane ySplit="3" topLeftCell="A14" activePane="bottomLeft" state="frozen"/>
      <selection activeCell="P18" sqref="P18"/>
      <selection pane="bottomLeft" activeCell="F5" sqref="F5"/>
    </sheetView>
  </sheetViews>
  <sheetFormatPr defaultColWidth="9.109375" defaultRowHeight="13.2"/>
  <cols>
    <col min="1" max="1" width="2.5546875" style="49" customWidth="1"/>
    <col min="2" max="2" width="11" style="49" customWidth="1"/>
    <col min="3" max="3" width="10.88671875" style="49" customWidth="1"/>
    <col min="4" max="4" width="9.109375" style="49"/>
    <col min="5" max="5" width="12.6640625" style="49" customWidth="1"/>
    <col min="6" max="6" width="10.6640625" style="49" customWidth="1"/>
    <col min="7" max="7" width="14.109375" style="49" customWidth="1"/>
    <col min="8" max="8" width="12.6640625" style="49" customWidth="1"/>
    <col min="9" max="10" width="13.6640625" style="49" customWidth="1"/>
    <col min="11" max="11" width="2.44140625" style="49" customWidth="1"/>
    <col min="12" max="12" width="13.6640625" style="49" customWidth="1"/>
    <col min="13" max="13" width="18" style="49" customWidth="1"/>
    <col min="14" max="15" width="13.6640625" style="49" customWidth="1"/>
    <col min="16" max="16" width="1.6640625" style="113" customWidth="1"/>
    <col min="17" max="17" width="20.5546875" style="49" customWidth="1"/>
    <col min="18" max="18" width="12.88671875" style="49" customWidth="1"/>
    <col min="19" max="19" width="14.109375" style="49" customWidth="1"/>
    <col min="20" max="20" width="13.5546875" style="49" customWidth="1"/>
    <col min="21" max="21" width="14.5546875" style="49" customWidth="1"/>
    <col min="22" max="22" width="17" style="49" customWidth="1"/>
    <col min="23" max="23" width="13" style="49" customWidth="1"/>
    <col min="24" max="24" width="17" style="49" customWidth="1"/>
    <col min="25" max="26" width="9.109375" customWidth="1"/>
    <col min="27" max="16384" width="9.109375" style="49"/>
  </cols>
  <sheetData>
    <row r="1" spans="2:26" s="47" customFormat="1">
      <c r="Y1"/>
      <c r="Z1"/>
    </row>
    <row r="2" spans="2:26" s="47" customFormat="1">
      <c r="E2" s="71"/>
      <c r="F2" s="71"/>
      <c r="G2" s="71"/>
      <c r="H2" s="71"/>
      <c r="I2" s="71"/>
      <c r="J2" s="71"/>
      <c r="K2" s="71"/>
      <c r="L2" s="71"/>
      <c r="M2" s="71"/>
      <c r="N2" s="71"/>
      <c r="O2" s="71"/>
      <c r="P2" s="71"/>
      <c r="Q2" s="72"/>
      <c r="R2" s="71"/>
      <c r="Y2"/>
      <c r="Z2"/>
    </row>
    <row r="3" spans="2:26" s="48" customFormat="1" ht="52.5" customHeight="1" thickBot="1">
      <c r="N3" s="47"/>
      <c r="O3" s="47"/>
      <c r="P3" s="47"/>
      <c r="Q3" s="47"/>
      <c r="R3" s="47"/>
      <c r="Y3"/>
      <c r="Z3"/>
    </row>
    <row r="4" spans="2:26" ht="37.5" customHeight="1">
      <c r="N4" s="147" t="str">
        <f>Tr("FLOW_GPM_HDR")&amp;" ["&amp;UnitText("FLOW")&amp;"]"</f>
        <v>Flow [GPM]</v>
      </c>
      <c r="O4" s="148" t="str">
        <f>Tr("HEAD_FT_HDR")&amp;" ["&amp;UnitText("HEAD")&amp;"]"</f>
        <v>Head [ft.]</v>
      </c>
      <c r="P4" s="147" t="str">
        <f>Tr("POWER_HP_HDR")&amp;" ["&amp;UnitText("POWER")&amp;"]"</f>
        <v>Power [HP]</v>
      </c>
      <c r="Q4" s="149"/>
      <c r="R4" s="147" t="str">
        <f>Tr("POWER_KW_HDR","Power [kW]")</f>
        <v>Power [kW]</v>
      </c>
      <c r="S4" s="29"/>
    </row>
    <row r="5" spans="2:26" ht="13.8">
      <c r="B5" s="50" t="str">
        <f>Tr("PUMP_DESIGN_FACTOR","Pump Design Factor")</f>
        <v>Pump Design Factor</v>
      </c>
      <c r="C5" s="51"/>
      <c r="D5" s="51"/>
      <c r="E5" s="51"/>
      <c r="F5" s="131">
        <v>1.25</v>
      </c>
      <c r="G5" s="50" t="str">
        <f>Tr("MAX_FLOW_RATE","Max Flow Rate")</f>
        <v>Max Flow Rate</v>
      </c>
      <c r="H5" s="170" t="str">
        <f>TEXT(displayValue('Model_Pump Savings'!F7*F5,"FLOW"),"0.0")&amp;" "&amp;UnitText("FLOW")</f>
        <v>387.5 GPM</v>
      </c>
      <c r="J5" s="70" t="str">
        <f>Tr("EDITABLE_FIELD","Editable Field")</f>
        <v>Editable Field</v>
      </c>
      <c r="N5" s="150">
        <f>displayValue('Model_Pump Savings'!N5,"FLOW")</f>
        <v>0</v>
      </c>
      <c r="O5" s="150">
        <f>displayValue('Model_Pump Savings'!O5,"HEAD")</f>
        <v>0</v>
      </c>
      <c r="P5" s="151">
        <f>displayValue('Model_Pump Savings'!P5,"POWER")</f>
        <v>0</v>
      </c>
      <c r="Q5" s="68"/>
      <c r="R5" s="151">
        <f>'Model_Pump Savings'!P5*0.746</f>
        <v>0</v>
      </c>
      <c r="S5" s="115"/>
    </row>
    <row r="6" spans="2:26" ht="13.8">
      <c r="B6" s="50" t="str">
        <f>Tr("MINIMUM_PUMP_HEAD","Minimum Pump head")</f>
        <v>Minimum Pump head</v>
      </c>
      <c r="C6" s="51"/>
      <c r="D6" s="51"/>
      <c r="E6" s="51"/>
      <c r="F6" s="133">
        <f>displayValue('Model_Pump Savings'!F6,"HEAD")</f>
        <v>0</v>
      </c>
      <c r="J6" s="53" t="str">
        <f>Tr("LABEL_WORD","Label")</f>
        <v>Label</v>
      </c>
      <c r="K6" s="33"/>
      <c r="L6" s="33"/>
      <c r="M6" s="33"/>
      <c r="N6" s="33"/>
      <c r="O6" s="33"/>
      <c r="P6" s="33"/>
      <c r="Q6" s="33"/>
    </row>
    <row r="7" spans="2:26" ht="13.8">
      <c r="B7" s="50" t="str">
        <f>Tr("DESIGN_CHW_COIL_FLOW_VMAX","Design Chilled Water Coil Flow [V'max]")</f>
        <v>Design Chilled Water Coil Flow [V'max]</v>
      </c>
      <c r="C7" s="51"/>
      <c r="D7" s="51"/>
      <c r="E7" s="51"/>
      <c r="F7" s="346">
        <f>displayValue('Model_Pump Savings'!F7,"FLOW")</f>
        <v>310</v>
      </c>
      <c r="I7" s="316"/>
      <c r="J7" s="316"/>
      <c r="K7" s="316"/>
      <c r="L7" s="316"/>
      <c r="M7" s="316"/>
      <c r="N7" s="316"/>
      <c r="O7" s="316"/>
      <c r="P7" s="316"/>
      <c r="Q7" s="316"/>
    </row>
    <row r="8" spans="2:26" ht="13.8">
      <c r="B8" s="50" t="str">
        <f>Tr("DESIGN_CHW_COIL_DT","Design Chilled Water Coil ΔT")</f>
        <v>Design Chilled Water Coil ΔT</v>
      </c>
      <c r="C8" s="51"/>
      <c r="D8" s="51"/>
      <c r="E8" s="51"/>
      <c r="F8" s="347">
        <f>displayValue('Model_Pump Savings'!F8,"DELTA")</f>
        <v>12</v>
      </c>
      <c r="I8" s="33"/>
      <c r="J8" s="33"/>
      <c r="K8" s="33"/>
      <c r="L8" s="33"/>
      <c r="M8" s="33"/>
      <c r="N8" s="33"/>
      <c r="O8" s="33"/>
      <c r="P8" s="69"/>
      <c r="Q8" s="33"/>
    </row>
    <row r="9" spans="2:26" ht="15" customHeight="1">
      <c r="B9" s="50" t="str">
        <f>Tr("DESIGN_CHW_COIL_TONNAGE")&amp;" ["&amp;UnitText("TONS")&amp;"]"</f>
        <v>Design Chilled Water Coil [tons]</v>
      </c>
      <c r="C9" s="51"/>
      <c r="D9" s="51"/>
      <c r="E9" s="51"/>
      <c r="F9" s="347">
        <f>displayValue('Model_Pump Savings'!F9,"TONS")</f>
        <v>155</v>
      </c>
      <c r="I9" s="33"/>
      <c r="J9" s="33"/>
      <c r="K9" s="33"/>
      <c r="L9" s="33"/>
      <c r="M9" s="33"/>
      <c r="N9" s="33"/>
      <c r="O9" s="33"/>
      <c r="P9" s="69"/>
      <c r="Q9" s="33"/>
      <c r="T9" s="55"/>
    </row>
    <row r="10" spans="2:26" ht="16.5" customHeight="1">
      <c r="B10" s="50" t="str">
        <f>Tr("DESIGN_CHW_COIL_BTUH")&amp;" ["&amp;UnitText("THERMAL")&amp;"]"</f>
        <v>Design Chilled Water Coil [BTU/h]</v>
      </c>
      <c r="C10" s="51"/>
      <c r="D10" s="51"/>
      <c r="E10" s="51"/>
      <c r="F10" s="109">
        <f>displayValue('Model_Pump Savings'!F10,"THERMAL")</f>
        <v>1860000</v>
      </c>
      <c r="G10" s="321" t="str">
        <f>Tr("ENERGY_VALVE_MODEL","Energy Valve Model ")</f>
        <v xml:space="preserve">Energy Valve Model </v>
      </c>
      <c r="H10" s="322"/>
      <c r="I10" s="170" t="str">
        <f>_xlfn.XLOOKUP('Model_Pump Savings'!F7,T21:T33,U21:U33,,-1)</f>
        <v>EV400SU-317</v>
      </c>
      <c r="J10" s="323" t="str">
        <f>VLOOKUP(I10,U21:X33,IF(IsMetric(),4,2))</f>
        <v>95..317 gpm</v>
      </c>
      <c r="K10" s="323"/>
      <c r="L10" s="324" t="str">
        <f>VLOOKUP(I10,U21:X33,3)&amp;" "&amp;Tr("BASED_ON_VMAX_SUFFIX","* based on V'max")</f>
        <v>4"  DN100 * based on V'max</v>
      </c>
      <c r="M10" s="324"/>
      <c r="N10" s="33"/>
      <c r="O10" s="33"/>
      <c r="P10" s="69"/>
      <c r="Q10" s="33"/>
    </row>
    <row r="11" spans="2:26" ht="47.25" customHeight="1">
      <c r="B11" s="67"/>
      <c r="C11" s="68"/>
      <c r="D11" s="68"/>
      <c r="E11" s="68"/>
      <c r="F11" s="69"/>
      <c r="I11" s="33"/>
      <c r="J11" s="33"/>
      <c r="K11" s="33"/>
      <c r="L11" s="33"/>
      <c r="M11" s="33"/>
      <c r="N11" s="33"/>
    </row>
    <row r="12" spans="2:26">
      <c r="B12" s="29" t="str">
        <f>Tr("LOAD_PCT_HDR","Load [%]")</f>
        <v>Load [%]</v>
      </c>
      <c r="C12" s="54" t="str">
        <f>Tr("TIME_PCT_HDR","Time [%]")</f>
        <v>Time [%]</v>
      </c>
      <c r="D12" s="29" t="str">
        <f>Tr("TIME_H_HDR","Time [h]")</f>
        <v>Time [h]</v>
      </c>
      <c r="E12" s="29" t="str">
        <f>Tr("FLOW_GPM_HDR")&amp;" ["&amp;UnitText("FLOW")&amp;"]"</f>
        <v>Flow [GPM]</v>
      </c>
      <c r="F12" s="29" t="str">
        <f>Tr("HEAD_FT_HDR")&amp;" ["&amp;UnitText("HEAD")&amp;"]"</f>
        <v>Head [ft.]</v>
      </c>
      <c r="G12" s="29" t="str">
        <f>Tr("POWER_HP_HDR")&amp;" ["&amp;UnitText("POWER")&amp;"]"</f>
        <v>Power [HP]</v>
      </c>
      <c r="H12" s="29" t="str">
        <f>UnitText("THERMAL")</f>
        <v>BTU/h</v>
      </c>
      <c r="I12" s="29" t="str">
        <f>Tr("ENERGY_KWH_HDR","Energy [kWh]")</f>
        <v>Energy [kWh]</v>
      </c>
      <c r="J12" s="29" t="str">
        <f>Tr("ANNUAL_GAL")&amp;" "&amp;UnitText("VOLUME")</f>
        <v>Annual gallons</v>
      </c>
      <c r="K12" s="29"/>
      <c r="L12" s="29" t="str">
        <f>" "&amp;Tr("PUMP_COSTS_TITLE","Pump Costs")</f>
        <v xml:space="preserve"> Pump Costs</v>
      </c>
      <c r="M12" s="114"/>
      <c r="N12" s="29" t="str">
        <f>Tr("PUMP_COSTS_LOWER","Pump costs")</f>
        <v>Pump costs</v>
      </c>
      <c r="O12" s="113"/>
      <c r="P12" s="49"/>
    </row>
    <row r="13" spans="2:26">
      <c r="B13" s="56">
        <v>100</v>
      </c>
      <c r="C13" s="57">
        <f>Home!$E$33*100</f>
        <v>25</v>
      </c>
      <c r="D13" s="23">
        <f>Home!$F$37*C13*0.01</f>
        <v>1374.1494102228048</v>
      </c>
      <c r="E13" s="23">
        <f>displayValue('Model_Pump Savings'!E13,"FLOW")</f>
        <v>310</v>
      </c>
      <c r="F13" s="23">
        <f>displayValue('Model_Pump Savings'!F13,"HEAD")</f>
        <v>30</v>
      </c>
      <c r="G13" s="58">
        <f>displayValue('Model_Pump Savings'!G13,"POWER")</f>
        <v>3.3549783549783552</v>
      </c>
      <c r="H13" s="104">
        <f>displayValue('Model_Pump Savings'!H13,"THERMAL")</f>
        <v>1860000</v>
      </c>
      <c r="I13" s="119">
        <f>(D13*'Model_Pump Savings'!G13)*0.746</f>
        <v>3439.2401797416219</v>
      </c>
      <c r="J13" s="104">
        <f>displayValue('Model_Pump Savings'!J13,"VOLUME")</f>
        <v>25559179.03014417</v>
      </c>
      <c r="K13" s="110"/>
      <c r="L13" s="59">
        <f>I13*Home!$F$10</f>
        <v>343.92401797416221</v>
      </c>
      <c r="M13" s="29" t="str">
        <f>Tr("PUMP_COSTS_LOWER","Pump costs")</f>
        <v>Pump costs</v>
      </c>
      <c r="N13" s="59">
        <f>N16*Home!$F$10</f>
        <v>677.10041038663189</v>
      </c>
      <c r="O13" s="113"/>
      <c r="P13" s="49"/>
    </row>
    <row r="14" spans="2:26">
      <c r="B14" s="56">
        <v>75</v>
      </c>
      <c r="C14" s="57">
        <f>Home!$E$34*100</f>
        <v>50</v>
      </c>
      <c r="D14" s="23">
        <f>+Home!$F$37*C14*0.01</f>
        <v>2748.2988204456096</v>
      </c>
      <c r="E14" s="23">
        <f>displayValue('Model_Pump Savings'!E14,"FLOW")</f>
        <v>232.5</v>
      </c>
      <c r="F14" s="23">
        <f>displayValue('Model_Pump Savings'!F14,"HEAD")</f>
        <v>16.875</v>
      </c>
      <c r="G14" s="58">
        <f>displayValue('Model_Pump Savings'!G14,"POWER")</f>
        <v>1.4153814935064934</v>
      </c>
      <c r="H14" s="104">
        <f>displayValue('Model_Pump Savings'!H14,"THERMAL")</f>
        <v>1395000</v>
      </c>
      <c r="I14" s="119">
        <f>(D14*'Model_Pump Savings'!G14)*0.746</f>
        <v>2901.8589016569931</v>
      </c>
      <c r="J14" s="104">
        <f>displayValue('Model_Pump Savings'!J14,"VOLUME")</f>
        <v>38338768.545216255</v>
      </c>
      <c r="K14" s="110"/>
      <c r="L14" s="59">
        <f>I14*Home!$F$10</f>
        <v>290.18589016569933</v>
      </c>
      <c r="M14" s="60" t="str">
        <f>Tr("ANNUAL_GAL")&amp;" "&amp;UnitText("VOLUME")</f>
        <v>Annual gallons</v>
      </c>
      <c r="N14" s="104">
        <f>displayValue('Model_Pump Savings'!N14,"VOLUME")</f>
        <v>76677537.09043251</v>
      </c>
      <c r="O14" s="113"/>
      <c r="P14" s="49"/>
    </row>
    <row r="15" spans="2:26">
      <c r="B15" s="56">
        <v>50</v>
      </c>
      <c r="C15" s="57">
        <f>Home!$E$35*100</f>
        <v>25</v>
      </c>
      <c r="D15" s="23">
        <f>+Home!$F$37*C15*0.01</f>
        <v>1374.1494102228048</v>
      </c>
      <c r="E15" s="23">
        <f>displayValue('Model_Pump Savings'!E15,"FLOW")</f>
        <v>155</v>
      </c>
      <c r="F15" s="23">
        <f>displayValue('Model_Pump Savings'!F15,"HEAD")</f>
        <v>7.5</v>
      </c>
      <c r="G15" s="58">
        <f>displayValue('Model_Pump Savings'!G15,"POWER")</f>
        <v>0.4193722943722944</v>
      </c>
      <c r="H15" s="104">
        <f>displayValue('Model_Pump Savings'!H15,"THERMAL")</f>
        <v>930000</v>
      </c>
      <c r="I15" s="119">
        <f>(D15*'Model_Pump Savings'!G15)*0.746</f>
        <v>429.90502246770274</v>
      </c>
      <c r="J15" s="104">
        <f>displayValue('Model_Pump Savings'!J15,"VOLUME")</f>
        <v>12779589.515072085</v>
      </c>
      <c r="K15" s="110"/>
      <c r="L15" s="59">
        <f>I15*Home!$F$10</f>
        <v>42.990502246770276</v>
      </c>
      <c r="M15" s="60" t="str">
        <f>Tr("AVG_GPM")&amp;" "&amp;UnitText("FLOW")</f>
        <v>Avg GPM</v>
      </c>
      <c r="N15" s="61">
        <f>displayValue('Model_Pump Savings'!N15,"FLOW")</f>
        <v>232.50000000000003</v>
      </c>
      <c r="O15" s="113"/>
      <c r="P15" s="49"/>
    </row>
    <row r="16" spans="2:26" s="33" customFormat="1">
      <c r="B16" s="56">
        <v>25</v>
      </c>
      <c r="C16" s="57">
        <f>Home!$E$36*100</f>
        <v>0</v>
      </c>
      <c r="D16" s="23">
        <f>+Home!$F$37*C16*0.01</f>
        <v>0</v>
      </c>
      <c r="E16" s="23">
        <f>displayValue('Model_Pump Savings'!E16,"FLOW")</f>
        <v>77.5</v>
      </c>
      <c r="F16" s="23">
        <f>displayValue('Model_Pump Savings'!F16,"HEAD")</f>
        <v>1.875</v>
      </c>
      <c r="G16" s="58">
        <f>displayValue('Model_Pump Savings'!G16,"POWER")</f>
        <v>5.24215367965368E-2</v>
      </c>
      <c r="H16" s="104">
        <f>displayValue('Model_Pump Savings'!H16,"THERMAL")</f>
        <v>465000</v>
      </c>
      <c r="I16" s="119">
        <f>(D16*'Model_Pump Savings'!G16)*0.746</f>
        <v>0</v>
      </c>
      <c r="J16" s="104">
        <f>displayValue('Model_Pump Savings'!J16,"VOLUME")</f>
        <v>0</v>
      </c>
      <c r="K16" s="110"/>
      <c r="L16" s="59">
        <f>I16*Home!$F$10</f>
        <v>0</v>
      </c>
      <c r="M16" s="29" t="str">
        <f>Tr("ENERGY_KWH_HDR","Energy [kWh]")</f>
        <v>Energy [kWh]</v>
      </c>
      <c r="N16" s="104">
        <f>SUMPRODUCT(D13:D16,'Model_Pump Savings'!G13:G16)*0.746</f>
        <v>6771.0041038663185</v>
      </c>
      <c r="O16" s="49"/>
      <c r="S16" s="29"/>
      <c r="U16" s="49"/>
      <c r="Y16"/>
      <c r="Z16"/>
    </row>
    <row r="17" spans="2:27">
      <c r="B17" s="62" t="s">
        <v>51</v>
      </c>
      <c r="C17" s="62" t="s">
        <v>51</v>
      </c>
      <c r="D17" s="62" t="s">
        <v>51</v>
      </c>
      <c r="E17" s="63"/>
      <c r="F17" s="63"/>
      <c r="I17" s="108">
        <f>SUM(I13:I16)</f>
        <v>6771.0041038663185</v>
      </c>
      <c r="J17" s="108">
        <f>SUM(J13:J16)</f>
        <v>76677537.09043251</v>
      </c>
      <c r="L17" s="108">
        <f>SUM(L13:L16)</f>
        <v>677.10041038663178</v>
      </c>
      <c r="M17" s="113"/>
      <c r="O17" s="113"/>
    </row>
    <row r="18" spans="2:27" ht="15.75" customHeight="1">
      <c r="B18" s="29"/>
      <c r="C18" s="54"/>
      <c r="D18" s="29"/>
      <c r="K18" s="29"/>
      <c r="L18" s="114"/>
      <c r="M18" s="114"/>
      <c r="N18" s="114"/>
      <c r="O18" s="114"/>
      <c r="P18" s="114"/>
      <c r="Q18" s="33"/>
      <c r="R18" s="29"/>
      <c r="T18" s="49" t="s">
        <v>53</v>
      </c>
      <c r="AA18" s="65"/>
    </row>
    <row r="19" spans="2:27" s="33" customFormat="1" ht="13.8">
      <c r="B19" s="314" t="str">
        <f>Tr("CHW_COIL_FLOWS_AT_DIFFERENT_DT")&amp;" ["&amp;UnitText("DELTA")&amp;"]"</f>
        <v>Chilled Water Coil Flows at different Delta T [°F]</v>
      </c>
      <c r="C19" s="315"/>
      <c r="D19" s="315"/>
      <c r="E19" s="315"/>
      <c r="F19" s="315"/>
      <c r="G19" s="315"/>
      <c r="H19" s="315"/>
      <c r="I19" s="315"/>
      <c r="J19" s="315"/>
      <c r="K19" s="111"/>
      <c r="L19" s="318" t="str">
        <f>Tr("EFFECTS_OF_LOW_DT_VS_DESIGN","Effects of Low ΔT vs Design")</f>
        <v>Effects of Low ΔT vs Design</v>
      </c>
      <c r="M19" s="319"/>
      <c r="N19" s="319"/>
      <c r="O19" s="319"/>
      <c r="P19" s="319"/>
      <c r="Q19" s="319"/>
      <c r="R19" s="319"/>
      <c r="V19" s="60"/>
      <c r="Y19"/>
      <c r="Z19"/>
    </row>
    <row r="20" spans="2:27">
      <c r="S20" s="33"/>
    </row>
    <row r="21" spans="2:27" ht="13.8">
      <c r="B21" s="50" t="str">
        <f>Tr("CHILLED_WATER_COIL_FLOW_AT_DT")&amp;" ["&amp;UnitText("DELTA")&amp;"]:"</f>
        <v>Chilled Water Coil Flow at Delta T [°F]:</v>
      </c>
      <c r="C21" s="51"/>
      <c r="D21" s="51"/>
      <c r="E21" s="64"/>
      <c r="F21" s="348">
        <f>displayValue('Model_Pump Savings'!F21,"DELTA")</f>
        <v>4</v>
      </c>
      <c r="L21" s="29" t="str">
        <f>UnitText("THERMAL")</f>
        <v>BTU/h</v>
      </c>
      <c r="M21" s="29" t="str">
        <f>Tr("INCREASE_WORD","Increase")</f>
        <v>Increase</v>
      </c>
      <c r="N21" s="29" t="str">
        <f>Tr("ADDITIONAL_TRAIL","Additional ")</f>
        <v xml:space="preserve">Additional </v>
      </c>
      <c r="O21" s="29" t="str">
        <f>Tr("ADDITONAL_TYPO","Additonal")</f>
        <v>Additonal</v>
      </c>
      <c r="P21" s="114"/>
      <c r="R21" s="29" t="str">
        <f>Tr("TOTAL_ANNUAL","Total Annual")</f>
        <v>Total Annual</v>
      </c>
      <c r="S21" s="105"/>
      <c r="T21" s="33">
        <v>1.65</v>
      </c>
      <c r="U21" s="33" t="s">
        <v>100</v>
      </c>
      <c r="V21" s="49" t="s">
        <v>113</v>
      </c>
      <c r="W21" s="168" t="s">
        <v>118</v>
      </c>
      <c r="X21" s="49" t="s">
        <v>1051</v>
      </c>
    </row>
    <row r="22" spans="2:27">
      <c r="B22" s="29" t="str">
        <f>Tr("LOAD_PCT_HDR","Load [%]")</f>
        <v>Load [%]</v>
      </c>
      <c r="C22" s="54" t="str">
        <f>Tr("TIME_PCT_HDR","Time [%]")</f>
        <v>Time [%]</v>
      </c>
      <c r="D22" s="29" t="str">
        <f>Tr("TIME_H_HDR","Time [h]")</f>
        <v>Time [h]</v>
      </c>
      <c r="E22" s="29" t="str">
        <f>Tr("FLOW_GPM_HDR")&amp;" ["&amp;UnitText("FLOW")&amp;"]"</f>
        <v>Flow [GPM]</v>
      </c>
      <c r="F22" s="29" t="str">
        <f>Tr("HEAD_FT_HDR")&amp;" ["&amp;UnitText("HEAD")&amp;"]"</f>
        <v>Head [ft.]</v>
      </c>
      <c r="G22" s="29" t="str">
        <f>Tr("POWER_HP_HDR")&amp;" ["&amp;UnitText("POWER")&amp;"]"</f>
        <v>Power [HP]</v>
      </c>
      <c r="H22" s="29" t="str">
        <f>UnitText("THERMAL")</f>
        <v>BTU/h</v>
      </c>
      <c r="I22" s="29" t="str">
        <f>Tr("ENERGY_KWH_HDR","Energy [kWh]")</f>
        <v>Energy [kWh]</v>
      </c>
      <c r="J22" s="29" t="str">
        <f>Tr("ANNUAL_GAL")&amp;" "&amp;UnitText("VOLUME")</f>
        <v>Annual gallons</v>
      </c>
      <c r="K22" s="29"/>
      <c r="L22" s="29" t="str">
        <f>Tr("AS_PCT_OF_DESIGN","As % of Design")</f>
        <v>As % of Design</v>
      </c>
      <c r="M22" s="29" t="str">
        <f>Tr("IN_GPM")&amp;" "&amp;UnitText("FLOW")</f>
        <v>In GPM</v>
      </c>
      <c r="N22" s="29" t="str">
        <f>Tr("GAL_PUMPED")&amp;" "&amp;UnitText("VOLUME")</f>
        <v>Pumped gallons</v>
      </c>
      <c r="O22" s="29" t="str">
        <f>Tr("PUMP_COSTS_TITLE","Pump Costs")</f>
        <v>Pump Costs</v>
      </c>
      <c r="P22" s="114"/>
      <c r="Q22" s="29"/>
      <c r="R22" s="29" t="str">
        <f>Tr("PUMP_COSTS_LOWER","Pump costs")</f>
        <v>Pump costs</v>
      </c>
      <c r="T22" s="33">
        <v>6.6</v>
      </c>
      <c r="U22" s="33" t="s">
        <v>101</v>
      </c>
      <c r="V22" s="49" t="s">
        <v>114</v>
      </c>
      <c r="W22" s="168" t="s">
        <v>119</v>
      </c>
      <c r="X22" s="49" t="s">
        <v>1052</v>
      </c>
    </row>
    <row r="23" spans="2:27">
      <c r="B23" s="56">
        <v>100</v>
      </c>
      <c r="C23" s="57">
        <f>Home!$E$33*100</f>
        <v>25</v>
      </c>
      <c r="D23" s="23">
        <f>+Home!$F$37*C23*0.01</f>
        <v>1374.1494102228048</v>
      </c>
      <c r="E23" s="23">
        <f>displayValue('Model_Pump Savings'!E23,"FLOW")</f>
        <v>387.5</v>
      </c>
      <c r="F23" s="23">
        <f>displayValue('Model_Pump Savings'!F23,"HEAD")</f>
        <v>46.875</v>
      </c>
      <c r="G23" s="58">
        <f>displayValue('Model_Pump Savings'!G23,"POWER")</f>
        <v>6.5526920995670999</v>
      </c>
      <c r="H23" s="104">
        <f>displayValue('Model_Pump Savings'!H23,"THERMAL")</f>
        <v>775000</v>
      </c>
      <c r="I23" s="119">
        <f>(D23*'Model_Pump Savings'!G23)*0.746</f>
        <v>6717.2659760578545</v>
      </c>
      <c r="J23" s="104">
        <f>displayValue('Model_Pump Savings'!J23,"VOLUME")</f>
        <v>31948973.787680212</v>
      </c>
      <c r="K23" s="110"/>
      <c r="L23" s="120">
        <f>SUM(H23/$H$13)</f>
        <v>0.41666666666666669</v>
      </c>
      <c r="M23" s="121">
        <f>displayValue('Model_Pump Savings'!M23,"FLOW")</f>
        <v>77.5</v>
      </c>
      <c r="N23" s="121">
        <f>displayValue('Model_Pump Savings'!N23,"VOLUME")</f>
        <v>6389794.7575360425</v>
      </c>
      <c r="O23" s="122">
        <f>I23*Home!$F$10</f>
        <v>671.72659760578551</v>
      </c>
      <c r="P23" s="116"/>
      <c r="Q23" s="29" t="str">
        <f>Tr("PUMP_COSTS_LOWER","Pump costs")</f>
        <v>Pump costs</v>
      </c>
      <c r="R23" s="106">
        <f>R26*Home!$F$10</f>
        <v>2686.9063904231421</v>
      </c>
      <c r="T23" s="33">
        <v>12</v>
      </c>
      <c r="U23" s="33" t="s">
        <v>102</v>
      </c>
      <c r="V23" s="49" t="s">
        <v>115</v>
      </c>
      <c r="W23" s="168" t="s">
        <v>120</v>
      </c>
      <c r="X23" s="49" t="s">
        <v>1053</v>
      </c>
    </row>
    <row r="24" spans="2:27">
      <c r="B24" s="56">
        <v>75</v>
      </c>
      <c r="C24" s="57">
        <f>Home!$E$34*100</f>
        <v>50</v>
      </c>
      <c r="D24" s="23">
        <f>+Home!$F$37*C24*0.01</f>
        <v>2748.2988204456096</v>
      </c>
      <c r="E24" s="23">
        <f>displayValue('Model_Pump Savings'!E24,"FLOW")</f>
        <v>387.5</v>
      </c>
      <c r="F24" s="23">
        <f>displayValue('Model_Pump Savings'!F24,"HEAD")</f>
        <v>46.875</v>
      </c>
      <c r="G24" s="58">
        <f>displayValue('Model_Pump Savings'!G24,"POWER")</f>
        <v>6.5526920995670999</v>
      </c>
      <c r="H24" s="104">
        <f>displayValue('Model_Pump Savings'!H24,"THERMAL")</f>
        <v>775000</v>
      </c>
      <c r="I24" s="119">
        <f>(D24*'Model_Pump Savings'!G24)*0.746</f>
        <v>13434.531952115709</v>
      </c>
      <c r="J24" s="104">
        <f>displayValue('Model_Pump Savings'!J24,"VOLUME")</f>
        <v>63897947.575360425</v>
      </c>
      <c r="K24" s="110"/>
      <c r="L24" s="120">
        <f>SUM(H24/$H$14)</f>
        <v>0.55555555555555558</v>
      </c>
      <c r="M24" s="121">
        <f>displayValue('Model_Pump Savings'!M24,"FLOW")</f>
        <v>155</v>
      </c>
      <c r="N24" s="121">
        <f>displayValue('Model_Pump Savings'!N24,"VOLUME")</f>
        <v>25559179.03014417</v>
      </c>
      <c r="O24" s="122">
        <f>I24*Home!$F$10</f>
        <v>1343.453195211571</v>
      </c>
      <c r="P24" s="116"/>
      <c r="Q24" s="60" t="str">
        <f>UnitText("VOLUME")</f>
        <v>gallons</v>
      </c>
      <c r="R24" s="103">
        <f>displayValue('Model_Pump Savings'!R24,"VOLUME")</f>
        <v>127795895.15072085</v>
      </c>
      <c r="T24" s="33">
        <v>19</v>
      </c>
      <c r="U24" s="33" t="s">
        <v>103</v>
      </c>
      <c r="V24" s="49" t="s">
        <v>116</v>
      </c>
      <c r="W24" s="168" t="s">
        <v>117</v>
      </c>
      <c r="X24" s="49" t="s">
        <v>1054</v>
      </c>
    </row>
    <row r="25" spans="2:27">
      <c r="B25" s="56">
        <v>50</v>
      </c>
      <c r="C25" s="57">
        <f>Home!$E$35*100</f>
        <v>25</v>
      </c>
      <c r="D25" s="23">
        <f>Home!$F$37*C25*0.01</f>
        <v>1374.1494102228048</v>
      </c>
      <c r="E25" s="23">
        <f>displayValue('Model_Pump Savings'!E25,"FLOW")</f>
        <v>387.5</v>
      </c>
      <c r="F25" s="23">
        <f>displayValue('Model_Pump Savings'!F25,"HEAD")</f>
        <v>46.875</v>
      </c>
      <c r="G25" s="58">
        <f>displayValue('Model_Pump Savings'!G25,"POWER")</f>
        <v>6.5526920995670999</v>
      </c>
      <c r="H25" s="104">
        <f>displayValue('Model_Pump Savings'!H25,"THERMAL")</f>
        <v>775000</v>
      </c>
      <c r="I25" s="119">
        <f>(D25*'Model_Pump Savings'!G25)*0.746</f>
        <v>6717.2659760578545</v>
      </c>
      <c r="J25" s="104">
        <f>displayValue('Model_Pump Savings'!J25,"VOLUME")</f>
        <v>31948973.787680212</v>
      </c>
      <c r="K25" s="110"/>
      <c r="L25" s="120">
        <f>SUM(H25/$H$15)</f>
        <v>0.83333333333333337</v>
      </c>
      <c r="M25" s="121">
        <f>displayValue('Model_Pump Savings'!M25,"FLOW")</f>
        <v>232.5</v>
      </c>
      <c r="N25" s="121">
        <f>displayValue('Model_Pump Savings'!N25,"VOLUME")</f>
        <v>19169384.272608127</v>
      </c>
      <c r="O25" s="122">
        <f>I25*Home!$F$10</f>
        <v>671.72659760578551</v>
      </c>
      <c r="P25" s="116"/>
      <c r="Q25" s="60" t="str">
        <f>Tr("AVG_GPM")&amp;" "&amp;UnitText("FLOW")</f>
        <v>Avg GPM</v>
      </c>
      <c r="R25" s="61">
        <f>displayValue('Model_Pump Savings'!R25,"FLOW")</f>
        <v>387.50000000000006</v>
      </c>
      <c r="T25" s="33">
        <v>29</v>
      </c>
      <c r="U25" s="66" t="s">
        <v>104</v>
      </c>
      <c r="V25" s="49" t="s">
        <v>121</v>
      </c>
      <c r="W25" s="168" t="s">
        <v>124</v>
      </c>
      <c r="X25" s="49" t="s">
        <v>1055</v>
      </c>
    </row>
    <row r="26" spans="2:27">
      <c r="B26" s="56">
        <v>25</v>
      </c>
      <c r="C26" s="57">
        <f>Home!$E$36*100</f>
        <v>0</v>
      </c>
      <c r="D26" s="23">
        <f>+Home!$F$37*C26*0.01</f>
        <v>0</v>
      </c>
      <c r="E26" s="23">
        <f>displayValue('Model_Pump Savings'!E26,"FLOW")</f>
        <v>232.5</v>
      </c>
      <c r="F26" s="23">
        <f>displayValue('Model_Pump Savings'!F26,"HEAD")</f>
        <v>16.875</v>
      </c>
      <c r="G26" s="58">
        <f>displayValue('Model_Pump Savings'!G26,"POWER")</f>
        <v>1.4153814935064934</v>
      </c>
      <c r="H26" s="104">
        <f>displayValue('Model_Pump Savings'!H26,"THERMAL")</f>
        <v>465000</v>
      </c>
      <c r="I26" s="119">
        <f>(D26*'Model_Pump Savings'!G26)*0.746</f>
        <v>0</v>
      </c>
      <c r="J26" s="104">
        <f>displayValue('Model_Pump Savings'!J26,"VOLUME")</f>
        <v>0</v>
      </c>
      <c r="K26" s="110"/>
      <c r="L26" s="120">
        <f>SUM(H26/$H$16)</f>
        <v>1</v>
      </c>
      <c r="M26" s="121">
        <f>displayValue('Model_Pump Savings'!M26,"FLOW")</f>
        <v>155</v>
      </c>
      <c r="N26" s="121">
        <f>displayValue('Model_Pump Savings'!N26,"VOLUME")</f>
        <v>0</v>
      </c>
      <c r="O26" s="122">
        <f>I26*Home!$F$10</f>
        <v>0</v>
      </c>
      <c r="P26" s="116"/>
      <c r="Q26" s="29" t="str">
        <f>Tr("ENERGY_KWH_HDR","Energy [kWh]")</f>
        <v>Energy [kWh]</v>
      </c>
      <c r="R26" s="104">
        <f>SUMPRODUCT(D23:D26,'Model_Pump Savings'!G23:G26)*0.746</f>
        <v>26869.063904231418</v>
      </c>
      <c r="T26" s="33">
        <v>45</v>
      </c>
      <c r="U26" s="66" t="s">
        <v>105</v>
      </c>
      <c r="V26" s="49" t="s">
        <v>122</v>
      </c>
      <c r="W26" s="168" t="s">
        <v>125</v>
      </c>
      <c r="X26" s="49" t="s">
        <v>1056</v>
      </c>
    </row>
    <row r="27" spans="2:27" s="33" customFormat="1">
      <c r="B27" s="69"/>
      <c r="C27" s="117"/>
      <c r="D27" s="105"/>
      <c r="E27" s="105"/>
      <c r="F27" s="105"/>
      <c r="G27" s="115"/>
      <c r="H27" s="112"/>
      <c r="I27" s="108">
        <f>SUM(I23:I26)</f>
        <v>26869.063904231418</v>
      </c>
      <c r="J27" s="108">
        <f>SUM(J23:J26)</f>
        <v>127795895.15072085</v>
      </c>
      <c r="K27" s="112"/>
      <c r="L27" s="118"/>
      <c r="M27" s="116"/>
      <c r="N27" s="116"/>
      <c r="O27" s="108">
        <f>SUM(O23:O26)</f>
        <v>2686.9063904231421</v>
      </c>
      <c r="P27" s="116"/>
      <c r="Q27" s="29"/>
      <c r="R27" s="112"/>
      <c r="T27" s="29">
        <v>67</v>
      </c>
      <c r="U27" s="66" t="s">
        <v>106</v>
      </c>
      <c r="V27" s="49" t="s">
        <v>123</v>
      </c>
      <c r="W27" s="168" t="s">
        <v>125</v>
      </c>
      <c r="X27" s="49" t="s">
        <v>1057</v>
      </c>
      <c r="Y27"/>
      <c r="Z27"/>
    </row>
    <row r="28" spans="2:27">
      <c r="B28" s="62" t="s">
        <v>51</v>
      </c>
      <c r="C28" s="62" t="s">
        <v>51</v>
      </c>
      <c r="D28" s="62" t="s">
        <v>51</v>
      </c>
      <c r="E28" s="63"/>
      <c r="F28" s="63"/>
      <c r="S28" s="29"/>
      <c r="T28" s="33">
        <v>101</v>
      </c>
      <c r="U28" s="33" t="s">
        <v>107</v>
      </c>
      <c r="V28" s="49" t="s">
        <v>127</v>
      </c>
      <c r="W28" s="169" t="s">
        <v>126</v>
      </c>
      <c r="X28" s="49" t="s">
        <v>1058</v>
      </c>
    </row>
    <row r="29" spans="2:27" ht="13.8">
      <c r="B29" s="50" t="str">
        <f>Tr("CHILLED_WATER_COIL_FLOW_AT_DT")&amp;" ["&amp;UnitText("DELTA")&amp;"]:"</f>
        <v>Chilled Water Coil Flow at Delta T [°F]:</v>
      </c>
      <c r="C29" s="51"/>
      <c r="D29" s="51"/>
      <c r="E29" s="52"/>
      <c r="F29" s="348">
        <f>displayValue('Model_Pump Savings'!F29,"DELTA")</f>
        <v>6</v>
      </c>
      <c r="L29" s="29" t="str">
        <f>UnitText("THERMAL")</f>
        <v>BTU/h</v>
      </c>
      <c r="M29" s="29" t="str">
        <f>Tr("INCREASE_WORD","Increase")</f>
        <v>Increase</v>
      </c>
      <c r="N29" s="29" t="str">
        <f>Tr("ADDITIONAL_TRAIL","Additional ")</f>
        <v xml:space="preserve">Additional </v>
      </c>
      <c r="O29" s="29" t="str">
        <f>Tr("ADDITONAL_TYPO","Additonal")</f>
        <v>Additonal</v>
      </c>
      <c r="S29" s="105"/>
      <c r="T29" s="33">
        <v>128</v>
      </c>
      <c r="U29" s="33" t="s">
        <v>108</v>
      </c>
      <c r="V29" s="66" t="s">
        <v>128</v>
      </c>
      <c r="W29" s="168" t="s">
        <v>129</v>
      </c>
      <c r="X29" s="33" t="s">
        <v>1059</v>
      </c>
    </row>
    <row r="30" spans="2:27">
      <c r="B30" s="29" t="str">
        <f>Tr("LOAD_PCT_HDR","Load [%]")</f>
        <v>Load [%]</v>
      </c>
      <c r="C30" s="54" t="str">
        <f>Tr("TIME_PCT_HDR","Time [%]")</f>
        <v>Time [%]</v>
      </c>
      <c r="D30" s="29" t="str">
        <f>Tr("TIME_H_HDR","Time [h]")</f>
        <v>Time [h]</v>
      </c>
      <c r="E30" s="29" t="str">
        <f>Tr("FLOW_GPM_HDR")&amp;" ["&amp;UnitText("FLOW")&amp;"]"</f>
        <v>Flow [GPM]</v>
      </c>
      <c r="F30" s="29" t="str">
        <f>Tr("HEAD_FT_HDR")&amp;" ["&amp;UnitText("HEAD")&amp;"]"</f>
        <v>Head [ft.]</v>
      </c>
      <c r="G30" s="29" t="str">
        <f>Tr("POWER_HP_HDR")&amp;" ["&amp;UnitText("POWER")&amp;"]"</f>
        <v>Power [HP]</v>
      </c>
      <c r="H30" s="29" t="str">
        <f>UnitText("THERMAL")</f>
        <v>BTU/h</v>
      </c>
      <c r="I30" s="29" t="str">
        <f>Tr("ENERGY_KWH_HDR","Energy [kWh]")</f>
        <v>Energy [kWh]</v>
      </c>
      <c r="J30" s="29" t="str">
        <f>Tr("ANNUAL_GAL")&amp;" "&amp;UnitText("VOLUME")</f>
        <v>Annual gallons</v>
      </c>
      <c r="K30" s="29"/>
      <c r="L30" s="29" t="str">
        <f>Tr("AS_PCT_OF_DESIGN","As % of Design")</f>
        <v>As % of Design</v>
      </c>
      <c r="M30" s="29" t="str">
        <f>Tr("IN_GPM")&amp;" "&amp;UnitText("FLOW")</f>
        <v>In GPM</v>
      </c>
      <c r="N30" s="29" t="str">
        <f>Tr("GAL_PUMPED")&amp;" "&amp;UnitText("VOLUME")</f>
        <v>Pumped gallons</v>
      </c>
      <c r="O30" s="29" t="str">
        <f>Tr("PUMP_COSTS_TITLE","Pump Costs")</f>
        <v>Pump Costs</v>
      </c>
      <c r="P30" s="114"/>
      <c r="Q30" s="105"/>
      <c r="R30" s="29"/>
      <c r="T30" s="33">
        <v>181</v>
      </c>
      <c r="U30" s="33" t="s">
        <v>109</v>
      </c>
      <c r="V30" s="66" t="s">
        <v>130</v>
      </c>
      <c r="W30" s="168" t="s">
        <v>131</v>
      </c>
      <c r="X30" s="33" t="s">
        <v>1060</v>
      </c>
    </row>
    <row r="31" spans="2:27">
      <c r="B31" s="56">
        <v>100</v>
      </c>
      <c r="C31" s="57">
        <f>Home!$E$33*100</f>
        <v>25</v>
      </c>
      <c r="D31" s="23">
        <f>+Home!$F$37*C31*0.01</f>
        <v>1374.1494102228048</v>
      </c>
      <c r="E31" s="23">
        <f>displayValue('Model_Pump Savings'!E31,"FLOW")</f>
        <v>387.5</v>
      </c>
      <c r="F31" s="23">
        <f>displayValue('Model_Pump Savings'!F31,"HEAD")</f>
        <v>46.875</v>
      </c>
      <c r="G31" s="58">
        <f>displayValue('Model_Pump Savings'!G31,"POWER")</f>
        <v>6.5526920995670999</v>
      </c>
      <c r="H31" s="104">
        <f>displayValue('Model_Pump Savings'!H31,"THERMAL")</f>
        <v>1162500</v>
      </c>
      <c r="I31" s="119">
        <f>(D31*'Model_Pump Savings'!G31)*0.746</f>
        <v>6717.2659760578545</v>
      </c>
      <c r="J31" s="104">
        <f>displayValue('Model_Pump Savings'!J31,"VOLUME")</f>
        <v>31948973.787680212</v>
      </c>
      <c r="K31" s="66"/>
      <c r="L31" s="120">
        <f>SUM(H31/$H$13)</f>
        <v>0.625</v>
      </c>
      <c r="M31" s="121">
        <f>displayValue('Model_Pump Savings'!M31,"FLOW")</f>
        <v>77.5</v>
      </c>
      <c r="N31" s="121">
        <f>displayValue('Model_Pump Savings'!N31,"VOLUME")</f>
        <v>6389794.7575360425</v>
      </c>
      <c r="O31" s="122">
        <f>I31*Home!$F$10</f>
        <v>671.72659760578551</v>
      </c>
      <c r="P31" s="105"/>
      <c r="Q31" s="29" t="str">
        <f>Tr("PUMP_COSTS_LOWER","Pump costs")</f>
        <v>Pump costs</v>
      </c>
      <c r="R31" s="106">
        <f>R34*Home!$F$10</f>
        <v>2359.1038107915188</v>
      </c>
      <c r="T31" s="33">
        <v>318</v>
      </c>
      <c r="U31" s="33" t="s">
        <v>110</v>
      </c>
      <c r="V31" s="66" t="s">
        <v>132</v>
      </c>
      <c r="W31" s="168" t="s">
        <v>133</v>
      </c>
      <c r="X31" s="33" t="s">
        <v>1061</v>
      </c>
    </row>
    <row r="32" spans="2:27">
      <c r="B32" s="56">
        <v>75</v>
      </c>
      <c r="C32" s="57">
        <f>Home!$E$34*100</f>
        <v>50</v>
      </c>
      <c r="D32" s="23">
        <f>+Home!$F$37*C32*0.01</f>
        <v>2748.2988204456096</v>
      </c>
      <c r="E32" s="23">
        <f>displayValue('Model_Pump Savings'!E32,"FLOW")</f>
        <v>387.5</v>
      </c>
      <c r="F32" s="23">
        <f>displayValue('Model_Pump Savings'!F32,"HEAD")</f>
        <v>46.875</v>
      </c>
      <c r="G32" s="58">
        <f>displayValue('Model_Pump Savings'!G32,"POWER")</f>
        <v>6.5526920995670999</v>
      </c>
      <c r="H32" s="104">
        <f>displayValue('Model_Pump Savings'!H32,"THERMAL")</f>
        <v>1162500</v>
      </c>
      <c r="I32" s="119">
        <f>(D32*'Model_Pump Savings'!G32)*0.746</f>
        <v>13434.531952115709</v>
      </c>
      <c r="J32" s="104">
        <f>displayValue('Model_Pump Savings'!J32,"VOLUME")</f>
        <v>63897947.575360425</v>
      </c>
      <c r="K32" s="66"/>
      <c r="L32" s="120">
        <f>SUM(H32/$H$14)</f>
        <v>0.83333333333333337</v>
      </c>
      <c r="M32" s="121">
        <f>displayValue('Model_Pump Savings'!M32,"FLOW")</f>
        <v>155</v>
      </c>
      <c r="N32" s="121">
        <f>displayValue('Model_Pump Savings'!N32,"VOLUME")</f>
        <v>25559179.03014417</v>
      </c>
      <c r="O32" s="122">
        <f>I32*Home!$F$10</f>
        <v>1343.453195211571</v>
      </c>
      <c r="P32" s="105"/>
      <c r="Q32" s="60" t="str">
        <f>Tr("ANNUAL_GAL")&amp;" "&amp;UnitText("VOLUME")</f>
        <v>Annual gallons</v>
      </c>
      <c r="R32" s="103">
        <f>displayValue('Model_Pump Savings'!R32,"VOLUME")</f>
        <v>121406100.39318481</v>
      </c>
      <c r="T32" s="33">
        <v>496</v>
      </c>
      <c r="U32" s="33" t="s">
        <v>111</v>
      </c>
      <c r="V32" s="66" t="s">
        <v>134</v>
      </c>
      <c r="W32" s="168" t="s">
        <v>135</v>
      </c>
      <c r="X32" s="33" t="s">
        <v>1062</v>
      </c>
    </row>
    <row r="33" spans="2:26">
      <c r="B33" s="56">
        <v>50</v>
      </c>
      <c r="C33" s="57">
        <f>Home!$E$35*100</f>
        <v>25</v>
      </c>
      <c r="D33" s="23">
        <f>+Home!$F$37*C33*0.01</f>
        <v>1374.1494102228048</v>
      </c>
      <c r="E33" s="23">
        <f>displayValue('Model_Pump Savings'!E33,"FLOW")</f>
        <v>310</v>
      </c>
      <c r="F33" s="23">
        <f>displayValue('Model_Pump Savings'!F33,"HEAD")</f>
        <v>30</v>
      </c>
      <c r="G33" s="58">
        <f>displayValue('Model_Pump Savings'!G33,"POWER")</f>
        <v>3.3549783549783552</v>
      </c>
      <c r="H33" s="104">
        <f>displayValue('Model_Pump Savings'!H33,"THERMAL")</f>
        <v>930000</v>
      </c>
      <c r="I33" s="119">
        <f>(D33*'Model_Pump Savings'!G33)*0.746</f>
        <v>3439.2401797416219</v>
      </c>
      <c r="J33" s="104">
        <f>displayValue('Model_Pump Savings'!J33,"VOLUME")</f>
        <v>25559179.03014417</v>
      </c>
      <c r="K33" s="66"/>
      <c r="L33" s="120">
        <f>SUM(H33/$H$15)</f>
        <v>1</v>
      </c>
      <c r="M33" s="121">
        <f>displayValue('Model_Pump Savings'!M33,"FLOW")</f>
        <v>155</v>
      </c>
      <c r="N33" s="121">
        <f>displayValue('Model_Pump Savings'!N33,"VOLUME")</f>
        <v>12779589.515072085</v>
      </c>
      <c r="O33" s="122">
        <f>I33*Home!$F$10</f>
        <v>343.92401797416221</v>
      </c>
      <c r="P33" s="105"/>
      <c r="Q33" s="60" t="str">
        <f>Tr("AVG_GPM")&amp;" "&amp;UnitText("FLOW")</f>
        <v>Avg GPM</v>
      </c>
      <c r="R33" s="61">
        <f>displayValue('Model_Pump Savings'!R33,"FLOW")</f>
        <v>368.12500000000006</v>
      </c>
      <c r="T33" s="33">
        <v>714</v>
      </c>
      <c r="U33" s="33" t="s">
        <v>112</v>
      </c>
      <c r="V33" s="66" t="s">
        <v>136</v>
      </c>
      <c r="W33" s="168"/>
      <c r="X33" s="33" t="s">
        <v>1063</v>
      </c>
    </row>
    <row r="34" spans="2:26">
      <c r="B34" s="56">
        <v>25</v>
      </c>
      <c r="C34" s="57">
        <f>Home!$E$36*100</f>
        <v>0</v>
      </c>
      <c r="D34" s="23">
        <f>+Home!$F$37*C34*0.01</f>
        <v>0</v>
      </c>
      <c r="E34" s="23">
        <f>displayValue('Model_Pump Savings'!E34,"FLOW")</f>
        <v>155</v>
      </c>
      <c r="F34" s="23">
        <f>displayValue('Model_Pump Savings'!F34,"HEAD")</f>
        <v>7.5</v>
      </c>
      <c r="G34" s="58">
        <f>displayValue('Model_Pump Savings'!G34,"POWER")</f>
        <v>0.4193722943722944</v>
      </c>
      <c r="H34" s="104">
        <f>displayValue('Model_Pump Savings'!H34,"THERMAL")</f>
        <v>465000</v>
      </c>
      <c r="I34" s="119">
        <f>(D34*'Model_Pump Savings'!G34)*0.746</f>
        <v>0</v>
      </c>
      <c r="J34" s="104">
        <f>displayValue('Model_Pump Savings'!J34,"VOLUME")</f>
        <v>0</v>
      </c>
      <c r="K34" s="66"/>
      <c r="L34" s="120">
        <f>SUM(H34/$H$16)</f>
        <v>1</v>
      </c>
      <c r="M34" s="121">
        <f>displayValue('Model_Pump Savings'!M34,"FLOW")</f>
        <v>77.5</v>
      </c>
      <c r="N34" s="121">
        <f>displayValue('Model_Pump Savings'!N34,"VOLUME")</f>
        <v>0</v>
      </c>
      <c r="O34" s="122">
        <f>I34*Home!$F$10</f>
        <v>0</v>
      </c>
      <c r="P34" s="105"/>
      <c r="Q34" s="29" t="str">
        <f>Tr("ENERGY_KWH_HDR","Energy [kWh]")</f>
        <v>Energy [kWh]</v>
      </c>
      <c r="R34" s="104">
        <f>SUMPRODUCT(D31:D34,'Model_Pump Savings'!G31:G34)*0.746</f>
        <v>23591.038107915185</v>
      </c>
      <c r="U34" s="66"/>
    </row>
    <row r="35" spans="2:26" s="33" customFormat="1">
      <c r="B35" s="69"/>
      <c r="C35" s="117"/>
      <c r="D35" s="105"/>
      <c r="E35" s="105"/>
      <c r="F35" s="105"/>
      <c r="G35" s="115"/>
      <c r="H35" s="112"/>
      <c r="I35" s="108">
        <f>SUM(I31:I34)</f>
        <v>23591.038107915185</v>
      </c>
      <c r="J35" s="108">
        <f>SUM(J31:J34)</f>
        <v>121406100.39318481</v>
      </c>
      <c r="K35" s="112"/>
      <c r="L35" s="118"/>
      <c r="M35" s="116"/>
      <c r="N35" s="116"/>
      <c r="O35" s="108">
        <f>SUM(O31:O34)</f>
        <v>2359.1038107915188</v>
      </c>
      <c r="P35" s="116"/>
      <c r="Q35" s="29"/>
      <c r="R35" s="112"/>
      <c r="S35" s="49"/>
      <c r="U35" s="29"/>
      <c r="V35" s="66"/>
      <c r="W35" s="49"/>
      <c r="X35" s="49"/>
      <c r="Y35"/>
      <c r="Z35"/>
    </row>
    <row r="36" spans="2:26">
      <c r="B36" s="62" t="s">
        <v>51</v>
      </c>
      <c r="C36" s="62" t="s">
        <v>51</v>
      </c>
      <c r="D36" s="62" t="s">
        <v>51</v>
      </c>
      <c r="E36" s="63"/>
      <c r="F36" s="63"/>
      <c r="S36" s="33"/>
      <c r="V36" s="66"/>
    </row>
    <row r="37" spans="2:26" ht="13.8">
      <c r="B37" s="50" t="str">
        <f>Tr("CHILLED_WATER_COIL_FLOW_AT_DT")&amp;" ["&amp;UnitText("DELTA")&amp;"]:"</f>
        <v>Chilled Water Coil Flow at Delta T [°F]:</v>
      </c>
      <c r="C37" s="51"/>
      <c r="D37" s="51"/>
      <c r="E37" s="52"/>
      <c r="F37" s="348">
        <f>displayValue('Model_Pump Savings'!F37,"DELTA")</f>
        <v>8</v>
      </c>
      <c r="L37" s="29" t="str">
        <f>UnitText("THERMAL")</f>
        <v>BTU/h</v>
      </c>
      <c r="M37" s="29" t="str">
        <f>Tr("INCREASE_WORD","Increase")</f>
        <v>Increase</v>
      </c>
      <c r="N37" s="29" t="str">
        <f>Tr("ADDITIONAL_TRAIL","Additional ")</f>
        <v xml:space="preserve">Additional </v>
      </c>
      <c r="O37" s="29" t="str">
        <f>Tr("ADDITONAL_TYPO","Additonal")</f>
        <v>Additonal</v>
      </c>
      <c r="S37" s="105"/>
      <c r="V37" s="66"/>
    </row>
    <row r="38" spans="2:26">
      <c r="B38" s="29" t="str">
        <f>Tr("LOAD_PCT_HDR","Load [%]")</f>
        <v>Load [%]</v>
      </c>
      <c r="C38" s="54" t="str">
        <f>Tr("TIME_PCT_HDR","Time [%]")</f>
        <v>Time [%]</v>
      </c>
      <c r="D38" s="29" t="str">
        <f>Tr("TIME_H_HDR","Time [h]")</f>
        <v>Time [h]</v>
      </c>
      <c r="E38" s="29" t="str">
        <f>Tr("FLOW_GPM_HDR")&amp;" ["&amp;UnitText("FLOW")&amp;"]"</f>
        <v>Flow [GPM]</v>
      </c>
      <c r="F38" s="29" t="str">
        <f>Tr("HEAD_FT_HDR")&amp;" ["&amp;UnitText("HEAD")&amp;"]"</f>
        <v>Head [ft.]</v>
      </c>
      <c r="G38" s="29" t="str">
        <f>Tr("POWER_HP_HDR")&amp;" ["&amp;UnitText("POWER")&amp;"]"</f>
        <v>Power [HP]</v>
      </c>
      <c r="H38" s="29" t="str">
        <f>UnitText("THERMAL")</f>
        <v>BTU/h</v>
      </c>
      <c r="I38" s="29" t="str">
        <f>Tr("ENERGY_KWH_HDR","Energy [kWh]")</f>
        <v>Energy [kWh]</v>
      </c>
      <c r="J38" s="29" t="str">
        <f>Tr("ANNUAL_GAL")&amp;" "&amp;UnitText("VOLUME")</f>
        <v>Annual gallons</v>
      </c>
      <c r="K38" s="29"/>
      <c r="L38" s="29" t="str">
        <f>Tr("AS_PCT_OF_DESIGN","As % of Design")</f>
        <v>As % of Design</v>
      </c>
      <c r="M38" s="29" t="str">
        <f>Tr("IN_GPM")&amp;" "&amp;UnitText("FLOW")</f>
        <v>In GPM</v>
      </c>
      <c r="N38" s="29" t="str">
        <f>Tr("GAL_PUMPED")&amp;" "&amp;UnitText("VOLUME")</f>
        <v>Pumped gallons</v>
      </c>
      <c r="O38" s="29" t="str">
        <f>Tr("PUMP_COSTS_TITLE","Pump Costs")</f>
        <v>Pump Costs</v>
      </c>
      <c r="P38" s="114"/>
      <c r="Q38" s="29"/>
      <c r="R38" s="29" t="str">
        <f>Tr("PUMP_COSTS_LOWER","Pump costs")</f>
        <v>Pump costs</v>
      </c>
      <c r="V38" s="66"/>
    </row>
    <row r="39" spans="2:26">
      <c r="B39" s="56">
        <v>100</v>
      </c>
      <c r="C39" s="57">
        <f>Home!$E$33*100</f>
        <v>25</v>
      </c>
      <c r="D39" s="23">
        <f>+Home!$F$37*C39*0.01</f>
        <v>1374.1494102228048</v>
      </c>
      <c r="E39" s="23">
        <f>displayValue('Model_Pump Savings'!E39,"FLOW")</f>
        <v>387.5</v>
      </c>
      <c r="F39" s="23">
        <f>displayValue('Model_Pump Savings'!F39,"HEAD")</f>
        <v>46.875</v>
      </c>
      <c r="G39" s="58">
        <f>displayValue('Model_Pump Savings'!G39,"POWER")</f>
        <v>6.5526920995670999</v>
      </c>
      <c r="H39" s="104">
        <f>displayValue('Model_Pump Savings'!H39,"THERMAL")</f>
        <v>1550000</v>
      </c>
      <c r="I39" s="119">
        <f>(D39*'Model_Pump Savings'!G39)*0.746</f>
        <v>6717.2659760578545</v>
      </c>
      <c r="J39" s="104">
        <f>displayValue('Model_Pump Savings'!J39,"VOLUME")</f>
        <v>31948973.787680212</v>
      </c>
      <c r="K39" s="66"/>
      <c r="L39" s="120">
        <f>SUM(H39/$H$13)</f>
        <v>0.83333333333333337</v>
      </c>
      <c r="M39" s="121">
        <f>displayValue('Model_Pump Savings'!M39,"FLOW")</f>
        <v>77.5</v>
      </c>
      <c r="N39" s="121">
        <f>displayValue('Model_Pump Savings'!N39,"VOLUME")</f>
        <v>6389794.7575360425</v>
      </c>
      <c r="O39" s="122">
        <f>I39*Home!$F$10</f>
        <v>671.72659760578551</v>
      </c>
      <c r="P39" s="105"/>
      <c r="Q39" s="29" t="str">
        <f>Tr("PUMP_COSTS_LOWER","Pump costs")</f>
        <v>Pump costs</v>
      </c>
      <c r="R39" s="106">
        <f>R42*Home!$F$10</f>
        <v>1796.1969219978707</v>
      </c>
      <c r="V39" s="66"/>
    </row>
    <row r="40" spans="2:26">
      <c r="B40" s="56">
        <v>75</v>
      </c>
      <c r="C40" s="57">
        <f>Home!$E$34*100</f>
        <v>50</v>
      </c>
      <c r="D40" s="23">
        <f>+Home!$F$37*C40*0.01</f>
        <v>2748.2988204456096</v>
      </c>
      <c r="E40" s="23">
        <f>displayValue('Model_Pump Savings'!E40,"FLOW")</f>
        <v>348.75</v>
      </c>
      <c r="F40" s="23">
        <f>displayValue('Model_Pump Savings'!F40,"HEAD")</f>
        <v>37.96875</v>
      </c>
      <c r="G40" s="58">
        <f>displayValue('Model_Pump Savings'!G40,"POWER")</f>
        <v>4.7769125405844157</v>
      </c>
      <c r="H40" s="104">
        <f>displayValue('Model_Pump Savings'!H40,"THERMAL")</f>
        <v>1395000</v>
      </c>
      <c r="I40" s="119">
        <f>(D40*'Model_Pump Savings'!G40)*0.746</f>
        <v>9793.7737930923522</v>
      </c>
      <c r="J40" s="104">
        <f>displayValue('Model_Pump Savings'!J40,"VOLUME")</f>
        <v>57508152.817824379</v>
      </c>
      <c r="K40" s="66"/>
      <c r="L40" s="120">
        <f>SUM(H40/$H$14)</f>
        <v>1</v>
      </c>
      <c r="M40" s="121">
        <f>displayValue('Model_Pump Savings'!M40,"FLOW")</f>
        <v>116.25</v>
      </c>
      <c r="N40" s="121">
        <f>displayValue('Model_Pump Savings'!N40,"VOLUME")</f>
        <v>19169384.272608124</v>
      </c>
      <c r="O40" s="122">
        <f>I40*Home!$F$10</f>
        <v>979.37737930923527</v>
      </c>
      <c r="P40" s="105"/>
      <c r="Q40" s="60" t="str">
        <f>Tr("ANNUAL_GAL")&amp;" "&amp;UnitText("VOLUME")</f>
        <v>Annual gallons</v>
      </c>
      <c r="R40" s="104">
        <f>displayValue('Model_Pump Savings'!R40,"VOLUME")</f>
        <v>108626510.87811272</v>
      </c>
      <c r="V40" s="66"/>
    </row>
    <row r="41" spans="2:26">
      <c r="B41" s="56">
        <v>50</v>
      </c>
      <c r="C41" s="57">
        <f>Home!$E$35*100</f>
        <v>25</v>
      </c>
      <c r="D41" s="23">
        <f>+Home!$F$37*C41*0.01</f>
        <v>1374.1494102228048</v>
      </c>
      <c r="E41" s="23">
        <f>displayValue('Model_Pump Savings'!E41,"FLOW")</f>
        <v>232.5</v>
      </c>
      <c r="F41" s="23">
        <f>displayValue('Model_Pump Savings'!F41,"HEAD")</f>
        <v>16.875</v>
      </c>
      <c r="G41" s="58">
        <f>displayValue('Model_Pump Savings'!G41,"POWER")</f>
        <v>1.4153814935064934</v>
      </c>
      <c r="H41" s="104">
        <f>displayValue('Model_Pump Savings'!H41,"THERMAL")</f>
        <v>930000</v>
      </c>
      <c r="I41" s="119">
        <f>(D41*'Model_Pump Savings'!G41)*0.746</f>
        <v>1450.9294508284966</v>
      </c>
      <c r="J41" s="104">
        <f>displayValue('Model_Pump Savings'!J41,"VOLUME")</f>
        <v>19169384.272608127</v>
      </c>
      <c r="K41" s="66"/>
      <c r="L41" s="120">
        <f>SUM(H41/$H$15)</f>
        <v>1</v>
      </c>
      <c r="M41" s="121">
        <f>displayValue('Model_Pump Savings'!M41,"FLOW")</f>
        <v>77.5</v>
      </c>
      <c r="N41" s="121">
        <f>displayValue('Model_Pump Savings'!N41,"VOLUME")</f>
        <v>6389794.7575360425</v>
      </c>
      <c r="O41" s="122">
        <f>I41*Home!$F$10</f>
        <v>145.09294508284967</v>
      </c>
      <c r="P41" s="105"/>
      <c r="Q41" s="60" t="str">
        <f>Tr("AVG_GPM")&amp;" "&amp;UnitText("FLOW")</f>
        <v>Avg GPM</v>
      </c>
      <c r="R41" s="61">
        <f>displayValue('Model_Pump Savings'!R41,"FLOW")</f>
        <v>329.375</v>
      </c>
      <c r="V41" s="66"/>
    </row>
    <row r="42" spans="2:26">
      <c r="B42" s="56">
        <v>25</v>
      </c>
      <c r="C42" s="57">
        <f>Home!$E$36*100</f>
        <v>0</v>
      </c>
      <c r="D42" s="23">
        <f>+Home!$F$37*C42*0.01</f>
        <v>0</v>
      </c>
      <c r="E42" s="23">
        <f>displayValue('Model_Pump Savings'!E42,"FLOW")</f>
        <v>116.25</v>
      </c>
      <c r="F42" s="23">
        <f>displayValue('Model_Pump Savings'!F42,"HEAD")</f>
        <v>4.21875</v>
      </c>
      <c r="G42" s="58">
        <f>displayValue('Model_Pump Savings'!G42,"POWER")</f>
        <v>0.17692268668831168</v>
      </c>
      <c r="H42" s="104">
        <f>displayValue('Model_Pump Savings'!H42,"THERMAL")</f>
        <v>465000</v>
      </c>
      <c r="I42" s="119">
        <f>(D42*'Model_Pump Savings'!G42)*0.746</f>
        <v>0</v>
      </c>
      <c r="J42" s="104">
        <f>displayValue('Model_Pump Savings'!J42,"VOLUME")</f>
        <v>0</v>
      </c>
      <c r="K42" s="66"/>
      <c r="L42" s="120">
        <f>SUM(H42/$H$16)</f>
        <v>1</v>
      </c>
      <c r="M42" s="121">
        <f>displayValue('Model_Pump Savings'!M42,"FLOW")</f>
        <v>38.75</v>
      </c>
      <c r="N42" s="121">
        <f>displayValue('Model_Pump Savings'!N42,"VOLUME")</f>
        <v>0</v>
      </c>
      <c r="O42" s="122">
        <f>I42*Home!$F$10</f>
        <v>0</v>
      </c>
      <c r="P42" s="105"/>
      <c r="Q42" s="29" t="str">
        <f>Tr("ENERGY_KWH_HDR","Energy [kWh]")</f>
        <v>Energy [kWh]</v>
      </c>
      <c r="R42" s="104">
        <f>SUMPRODUCT(D39:D42,'Model_Pump Savings'!G39:G42)*0.746</f>
        <v>17961.969219978706</v>
      </c>
      <c r="U42" s="66"/>
    </row>
    <row r="43" spans="2:26">
      <c r="B43" s="69"/>
      <c r="C43" s="117"/>
      <c r="D43" s="105"/>
      <c r="E43" s="105"/>
      <c r="F43" s="105"/>
      <c r="G43" s="115"/>
      <c r="H43" s="112"/>
      <c r="I43" s="108">
        <f>SUM(I39:I42)</f>
        <v>17961.969219978702</v>
      </c>
      <c r="J43" s="108">
        <f>SUM(J39:J42)</f>
        <v>108626510.87811272</v>
      </c>
      <c r="K43" s="112"/>
      <c r="L43" s="118"/>
      <c r="M43" s="116"/>
      <c r="N43" s="116"/>
      <c r="O43" s="108">
        <f>SUM(O39:O42)</f>
        <v>1796.1969219978703</v>
      </c>
      <c r="P43" s="116"/>
      <c r="Q43" s="29"/>
      <c r="R43" s="112"/>
      <c r="U43" s="66"/>
    </row>
    <row r="44" spans="2:26">
      <c r="B44" s="69"/>
      <c r="C44" s="117"/>
      <c r="D44" s="105"/>
      <c r="E44" s="105"/>
      <c r="F44" s="105"/>
      <c r="G44" s="115"/>
      <c r="H44" s="112"/>
      <c r="I44" s="108"/>
      <c r="J44" s="108"/>
      <c r="K44" s="112"/>
      <c r="L44" s="118"/>
      <c r="M44" s="116"/>
      <c r="N44" s="116"/>
      <c r="O44" s="108"/>
      <c r="P44" s="116"/>
      <c r="Q44" s="29"/>
      <c r="R44" s="112"/>
      <c r="S44" s="33"/>
      <c r="V44" s="66"/>
    </row>
    <row r="45" spans="2:26" ht="13.8">
      <c r="B45" s="50" t="str">
        <f>Tr("CHILLED_WATER_COIL_FLOW_AT_DT")&amp;" ["&amp;UnitText("DELTA")&amp;"]:"</f>
        <v>Chilled Water Coil Flow at Delta T [°F]:</v>
      </c>
      <c r="C45" s="51"/>
      <c r="D45" s="51"/>
      <c r="E45" s="52"/>
      <c r="F45" s="348">
        <f>displayValue('Model_Pump Savings'!F45,"DELTA")</f>
        <v>10</v>
      </c>
      <c r="L45" s="29" t="str">
        <f>UnitText("THERMAL")</f>
        <v>BTU/h</v>
      </c>
      <c r="M45" s="29" t="str">
        <f>Tr("INCREASE_WORD","Increase")</f>
        <v>Increase</v>
      </c>
      <c r="N45" s="29" t="str">
        <f>Tr("ADDITIONAL_TRAIL","Additional ")</f>
        <v xml:space="preserve">Additional </v>
      </c>
      <c r="O45" s="29" t="str">
        <f>Tr("ADDITONAL_TYPO","Additonal")</f>
        <v>Additonal</v>
      </c>
      <c r="V45" s="66"/>
    </row>
    <row r="46" spans="2:26">
      <c r="B46" s="29" t="str">
        <f>Tr("LOAD_PCT_HDR","Load [%]")</f>
        <v>Load [%]</v>
      </c>
      <c r="C46" s="54" t="str">
        <f>Tr("TIME_PCT_HDR","Time [%]")</f>
        <v>Time [%]</v>
      </c>
      <c r="D46" s="29" t="str">
        <f>Tr("TIME_H_HDR","Time [h]")</f>
        <v>Time [h]</v>
      </c>
      <c r="E46" s="29" t="str">
        <f>Tr("FLOW_GPM_HDR")&amp;" ["&amp;UnitText("FLOW")&amp;"]"</f>
        <v>Flow [GPM]</v>
      </c>
      <c r="F46" s="29" t="str">
        <f>Tr("HEAD_FT_HDR")&amp;" ["&amp;UnitText("HEAD")&amp;"]"</f>
        <v>Head [ft.]</v>
      </c>
      <c r="G46" s="29" t="str">
        <f>Tr("POWER_HP_HDR")&amp;" ["&amp;UnitText("POWER")&amp;"]"</f>
        <v>Power [HP]</v>
      </c>
      <c r="H46" s="29" t="str">
        <f>UnitText("THERMAL")</f>
        <v>BTU/h</v>
      </c>
      <c r="I46" s="29" t="str">
        <f>Tr("ENERGY_KWH_HDR","Energy [kWh]")</f>
        <v>Energy [kWh]</v>
      </c>
      <c r="J46" s="29" t="str">
        <f>Tr("ANNUAL_GAL")&amp;" "&amp;UnitText("VOLUME")</f>
        <v>Annual gallons</v>
      </c>
      <c r="K46" s="29"/>
      <c r="L46" s="29" t="str">
        <f>Tr("AS_PCT_OF_DESIGN","As % of Design")</f>
        <v>As % of Design</v>
      </c>
      <c r="M46" s="29" t="str">
        <f>Tr("IN_GPM")&amp;" "&amp;UnitText("FLOW")</f>
        <v>In GPM</v>
      </c>
      <c r="N46" s="29" t="str">
        <f>Tr("GAL_PUMPED")&amp;" "&amp;UnitText("VOLUME")</f>
        <v>Pumped gallons</v>
      </c>
      <c r="O46" s="29" t="str">
        <f>Tr("PUMP_COSTS_TITLE","Pump Costs")</f>
        <v>Pump Costs</v>
      </c>
      <c r="P46" s="114"/>
      <c r="Q46" s="29"/>
      <c r="R46" s="29" t="str">
        <f>Tr("PUMP_COSTS_LOWER","Pump costs")</f>
        <v>Pump costs</v>
      </c>
      <c r="V46" s="66"/>
    </row>
    <row r="47" spans="2:26">
      <c r="B47" s="56">
        <v>100</v>
      </c>
      <c r="C47" s="57">
        <f>Home!$E$33*100</f>
        <v>25</v>
      </c>
      <c r="D47" s="23">
        <f>+Home!$F$37*C47*0.01</f>
        <v>1374.1494102228048</v>
      </c>
      <c r="E47" s="23">
        <f>displayValue('Model_Pump Savings'!E47,"FLOW")</f>
        <v>372</v>
      </c>
      <c r="F47" s="23">
        <f>displayValue('Model_Pump Savings'!F47,"HEAD")</f>
        <v>43.199999999999996</v>
      </c>
      <c r="G47" s="58">
        <f>displayValue('Model_Pump Savings'!G47,"POWER")</f>
        <v>5.7974025974025967</v>
      </c>
      <c r="H47" s="104">
        <f>displayValue('Model_Pump Savings'!H47,"THERMAL")</f>
        <v>1860000</v>
      </c>
      <c r="I47" s="119">
        <f>(D47*'Model_Pump Savings'!G47)*0.746</f>
        <v>5943.0070305935214</v>
      </c>
      <c r="J47" s="104">
        <f>displayValue('Model_Pump Savings'!J47,"VOLUME")</f>
        <v>30671014.836173005</v>
      </c>
      <c r="K47" s="66"/>
      <c r="L47" s="120">
        <f>SUM(H47/$H$13)</f>
        <v>1</v>
      </c>
      <c r="M47" s="121">
        <f>displayValue('Model_Pump Savings'!M47,"FLOW")</f>
        <v>62</v>
      </c>
      <c r="N47" s="121">
        <f>displayValue('Model_Pump Savings'!N47,"VOLUME")</f>
        <v>5111835.8060288355</v>
      </c>
      <c r="O47" s="122">
        <f>I47*Home!$F$10</f>
        <v>594.30070305935214</v>
      </c>
      <c r="P47" s="105"/>
      <c r="Q47" s="29" t="str">
        <f>Tr("PUMP_COSTS_LOWER","Pump costs")</f>
        <v>Pump costs</v>
      </c>
      <c r="R47" s="59">
        <f>R50*Home!$F$10</f>
        <v>1170.0295091480994</v>
      </c>
      <c r="V47" s="66"/>
    </row>
    <row r="48" spans="2:26">
      <c r="B48" s="56">
        <v>75</v>
      </c>
      <c r="C48" s="57">
        <f>Home!$E$34*100</f>
        <v>50</v>
      </c>
      <c r="D48" s="23">
        <f>+Home!$F$37*C48*0.01</f>
        <v>2748.2988204456096</v>
      </c>
      <c r="E48" s="23">
        <f>displayValue('Model_Pump Savings'!E48,"FLOW")</f>
        <v>279</v>
      </c>
      <c r="F48" s="23">
        <f>displayValue('Model_Pump Savings'!F48,"HEAD")</f>
        <v>24.3</v>
      </c>
      <c r="G48" s="58">
        <f>displayValue('Model_Pump Savings'!G48,"POWER")</f>
        <v>2.4457792207792206</v>
      </c>
      <c r="H48" s="104">
        <f>displayValue('Model_Pump Savings'!H48,"THERMAL")</f>
        <v>1395000</v>
      </c>
      <c r="I48" s="119">
        <f>(D48*'Model_Pump Savings'!G48)*0.746</f>
        <v>5014.4121820632836</v>
      </c>
      <c r="J48" s="104">
        <f>displayValue('Model_Pump Savings'!J48,"VOLUME")</f>
        <v>46006522.254259504</v>
      </c>
      <c r="K48" s="66"/>
      <c r="L48" s="120">
        <f>SUM(H48/$H$14)</f>
        <v>1</v>
      </c>
      <c r="M48" s="121">
        <f>displayValue('Model_Pump Savings'!M48,"FLOW")</f>
        <v>46.5</v>
      </c>
      <c r="N48" s="121">
        <f>displayValue('Model_Pump Savings'!N48,"VOLUME")</f>
        <v>7667753.7090432495</v>
      </c>
      <c r="O48" s="122">
        <f>I48*Home!$F$10</f>
        <v>501.44121820632836</v>
      </c>
      <c r="P48" s="105"/>
      <c r="Q48" s="60" t="str">
        <f>Tr("ANNUAL_GAL")&amp;" "&amp;UnitText("VOLUME")</f>
        <v>Annual gallons</v>
      </c>
      <c r="R48" s="104">
        <f>displayValue('Model_Pump Savings'!R48,"VOLUME")</f>
        <v>92013044.508519009</v>
      </c>
      <c r="V48" s="66"/>
    </row>
    <row r="49" spans="2:22">
      <c r="B49" s="56">
        <v>50</v>
      </c>
      <c r="C49" s="57">
        <f>Home!$E$35*100</f>
        <v>25</v>
      </c>
      <c r="D49" s="23">
        <f>+Home!$F$37*C49*0.01</f>
        <v>1374.1494102228048</v>
      </c>
      <c r="E49" s="23">
        <f>displayValue('Model_Pump Savings'!E49,"FLOW")</f>
        <v>186</v>
      </c>
      <c r="F49" s="23">
        <f>displayValue('Model_Pump Savings'!F49,"HEAD")</f>
        <v>10.799999999999999</v>
      </c>
      <c r="G49" s="58">
        <f>displayValue('Model_Pump Savings'!G49,"POWER")</f>
        <v>0.72467532467532458</v>
      </c>
      <c r="H49" s="104">
        <f>displayValue('Model_Pump Savings'!H49,"THERMAL")</f>
        <v>930000</v>
      </c>
      <c r="I49" s="119">
        <f>(D49*'Model_Pump Savings'!G49)*0.746</f>
        <v>742.87587882419018</v>
      </c>
      <c r="J49" s="104">
        <f>displayValue('Model_Pump Savings'!J49,"VOLUME")</f>
        <v>15335507.418086503</v>
      </c>
      <c r="K49" s="66"/>
      <c r="L49" s="120">
        <f>SUM(H49/$H$15)</f>
        <v>1</v>
      </c>
      <c r="M49" s="121">
        <f>displayValue('Model_Pump Savings'!M49,"FLOW")</f>
        <v>31</v>
      </c>
      <c r="N49" s="121">
        <f>displayValue('Model_Pump Savings'!N49,"VOLUME")</f>
        <v>2555917.9030144177</v>
      </c>
      <c r="O49" s="122">
        <f>I49*Home!$F$10</f>
        <v>74.287587882419018</v>
      </c>
      <c r="P49" s="105"/>
      <c r="Q49" s="60" t="str">
        <f>Tr("AVG_GPM")&amp;" "&amp;UnitText("FLOW")</f>
        <v>Avg GPM</v>
      </c>
      <c r="R49" s="61">
        <f>displayValue('Model_Pump Savings'!R49,"FLOW")</f>
        <v>279</v>
      </c>
      <c r="V49" s="66"/>
    </row>
    <row r="50" spans="2:22">
      <c r="B50" s="56">
        <v>25</v>
      </c>
      <c r="C50" s="57">
        <f>Home!$E$36*100</f>
        <v>0</v>
      </c>
      <c r="D50" s="23">
        <f>+Home!$F$37*C50*0.01</f>
        <v>0</v>
      </c>
      <c r="E50" s="23">
        <f>displayValue('Model_Pump Savings'!E50,"FLOW")</f>
        <v>93</v>
      </c>
      <c r="F50" s="23">
        <f>displayValue('Model_Pump Savings'!F50,"HEAD")</f>
        <v>2.6999999999999997</v>
      </c>
      <c r="G50" s="58">
        <f>displayValue('Model_Pump Savings'!G50,"POWER")</f>
        <v>9.0584415584415573E-2</v>
      </c>
      <c r="H50" s="104">
        <f>displayValue('Model_Pump Savings'!H50,"THERMAL")</f>
        <v>465000</v>
      </c>
      <c r="I50" s="119">
        <f>(D50*'Model_Pump Savings'!G50)*0.746</f>
        <v>0</v>
      </c>
      <c r="J50" s="104">
        <f>displayValue('Model_Pump Savings'!J50,"VOLUME")</f>
        <v>0</v>
      </c>
      <c r="K50" s="66"/>
      <c r="L50" s="120">
        <f>SUM(H50/$H$16)</f>
        <v>1</v>
      </c>
      <c r="M50" s="121">
        <f>displayValue('Model_Pump Savings'!M50,"FLOW")</f>
        <v>15.5</v>
      </c>
      <c r="N50" s="121">
        <f>displayValue('Model_Pump Savings'!N50,"VOLUME")</f>
        <v>0</v>
      </c>
      <c r="O50" s="122">
        <f>I50*Home!$F$10</f>
        <v>0</v>
      </c>
      <c r="P50" s="105"/>
      <c r="Q50" s="29" t="str">
        <f>Tr("ENERGY_KWH_HDR","Energy [kWh]")</f>
        <v>Energy [kWh]</v>
      </c>
      <c r="R50" s="104">
        <f>SUMPRODUCT(D47:D50,'Model_Pump Savings'!G47:G50)*0.746</f>
        <v>11700.295091480994</v>
      </c>
      <c r="U50" s="66"/>
    </row>
    <row r="51" spans="2:22">
      <c r="B51" s="69"/>
      <c r="C51" s="117"/>
      <c r="D51" s="105"/>
      <c r="E51" s="105"/>
      <c r="F51" s="105"/>
      <c r="G51" s="115"/>
      <c r="H51" s="112"/>
      <c r="I51" s="108">
        <f>SUM(I47:I50)</f>
        <v>11700.295091480995</v>
      </c>
      <c r="J51" s="108">
        <f>SUM(J47:J50)</f>
        <v>92013044.508519009</v>
      </c>
      <c r="K51" s="112"/>
      <c r="L51" s="118"/>
      <c r="M51" s="116"/>
      <c r="N51" s="116"/>
      <c r="O51" s="108">
        <f>SUM(O47:O50)</f>
        <v>1170.0295091480996</v>
      </c>
      <c r="P51" s="116"/>
      <c r="Q51" s="29"/>
      <c r="R51" s="112"/>
      <c r="U51" s="66"/>
    </row>
    <row r="52" spans="2:22">
      <c r="B52" s="69"/>
      <c r="C52" s="117"/>
      <c r="D52" s="105"/>
      <c r="E52" s="105"/>
      <c r="F52" s="105"/>
      <c r="G52" s="115"/>
      <c r="H52" s="112"/>
      <c r="I52" s="108"/>
      <c r="J52" s="108"/>
      <c r="K52" s="112"/>
      <c r="L52" s="118"/>
      <c r="M52" s="116"/>
      <c r="N52" s="116"/>
      <c r="O52" s="108"/>
      <c r="P52" s="116"/>
      <c r="Q52" s="29"/>
      <c r="R52" s="112"/>
      <c r="S52" s="33"/>
      <c r="V52" s="66"/>
    </row>
    <row r="53" spans="2:22" ht="13.8">
      <c r="B53" s="50" t="str">
        <f>Tr("CHILLED_WATER_COIL_FLOW_AT_DT")&amp;" ["&amp;UnitText("DELTA")&amp;"]:"</f>
        <v>Chilled Water Coil Flow at Delta T [°F]:</v>
      </c>
      <c r="C53" s="51"/>
      <c r="D53" s="51"/>
      <c r="E53" s="52"/>
      <c r="F53" s="348">
        <f>displayValue('Model_Pump Savings'!F53,"DELTA")</f>
        <v>12</v>
      </c>
      <c r="L53" s="29" t="str">
        <f>UnitText("THERMAL")</f>
        <v>BTU/h</v>
      </c>
      <c r="M53" s="29" t="str">
        <f>Tr("INCREASE_WORD","Increase")</f>
        <v>Increase</v>
      </c>
      <c r="N53" s="29" t="str">
        <f>Tr("ADDITIONAL_TRAIL","Additional ")</f>
        <v xml:space="preserve">Additional </v>
      </c>
      <c r="O53" s="29" t="str">
        <f>Tr("ADDITONAL_TYPO","Additonal")</f>
        <v>Additonal</v>
      </c>
      <c r="V53" s="66"/>
    </row>
    <row r="54" spans="2:22">
      <c r="B54" s="29" t="str">
        <f>Tr("LOAD_PCT_HDR","Load [%]")</f>
        <v>Load [%]</v>
      </c>
      <c r="C54" s="54" t="str">
        <f>Tr("TIME_PCT_HDR","Time [%]")</f>
        <v>Time [%]</v>
      </c>
      <c r="D54" s="29" t="str">
        <f>Tr("TIME_H_HDR","Time [h]")</f>
        <v>Time [h]</v>
      </c>
      <c r="E54" s="29" t="str">
        <f>Tr("FLOW_GPM_HDR")&amp;" ["&amp;UnitText("FLOW")&amp;"]"</f>
        <v>Flow [GPM]</v>
      </c>
      <c r="F54" s="29" t="str">
        <f>Tr("HEAD_FT_HDR")&amp;" ["&amp;UnitText("HEAD")&amp;"]"</f>
        <v>Head [ft.]</v>
      </c>
      <c r="G54" s="29" t="str">
        <f>Tr("POWER_HP_HDR")&amp;" ["&amp;UnitText("POWER")&amp;"]"</f>
        <v>Power [HP]</v>
      </c>
      <c r="H54" s="29" t="str">
        <f>UnitText("THERMAL")</f>
        <v>BTU/h</v>
      </c>
      <c r="I54" s="29" t="str">
        <f>Tr("ENERGY_KWH_HDR","Energy [kWh]")</f>
        <v>Energy [kWh]</v>
      </c>
      <c r="J54" s="29" t="str">
        <f>Tr("ANNUAL_GAL")&amp;" "&amp;UnitText("VOLUME")</f>
        <v>Annual gallons</v>
      </c>
      <c r="K54" s="29"/>
      <c r="L54" s="29" t="str">
        <f>Tr("AS_PCT_OF_DESIGN","As % of Design")</f>
        <v>As % of Design</v>
      </c>
      <c r="M54" s="29" t="str">
        <f>Tr("IN_GPM")&amp;" "&amp;UnitText("FLOW")</f>
        <v>In GPM</v>
      </c>
      <c r="N54" s="29" t="str">
        <f>Tr("GAL_PUMPED")&amp;" "&amp;UnitText("VOLUME")</f>
        <v>Pumped gallons</v>
      </c>
      <c r="O54" s="29" t="str">
        <f>Tr("PUMP_COSTS_TITLE","Pump Costs")</f>
        <v>Pump Costs</v>
      </c>
      <c r="P54" s="114"/>
      <c r="Q54" s="29"/>
      <c r="R54" s="29" t="str">
        <f>Tr("PUMP_COSTS_LOWER","Pump costs")</f>
        <v>Pump costs</v>
      </c>
      <c r="V54" s="66"/>
    </row>
    <row r="55" spans="2:22">
      <c r="B55" s="56">
        <v>100</v>
      </c>
      <c r="C55" s="57">
        <f>Home!$E$33*100</f>
        <v>25</v>
      </c>
      <c r="D55" s="23">
        <f>+Home!$F$37*C55*0.01</f>
        <v>1374.1494102228048</v>
      </c>
      <c r="E55" s="23">
        <f>displayValue('Model_Pump Savings'!E55,"FLOW")</f>
        <v>310</v>
      </c>
      <c r="F55" s="23">
        <f>displayValue('Model_Pump Savings'!F55,"HEAD")</f>
        <v>30</v>
      </c>
      <c r="G55" s="58">
        <f>displayValue('Model_Pump Savings'!G55,"POWER")</f>
        <v>3.3549783549783552</v>
      </c>
      <c r="H55" s="104">
        <f>displayValue('Model_Pump Savings'!H55,"THERMAL")</f>
        <v>1860000</v>
      </c>
      <c r="I55" s="119">
        <f>(D55*'Model_Pump Savings'!G55)*0.746</f>
        <v>3439.2401797416219</v>
      </c>
      <c r="J55" s="104">
        <f>displayValue('Model_Pump Savings'!J55,"VOLUME")</f>
        <v>25559179.03014417</v>
      </c>
      <c r="K55" s="66"/>
      <c r="L55" s="120">
        <f>SUM(H55/$H$13)</f>
        <v>1</v>
      </c>
      <c r="M55" s="121">
        <f>displayValue('Model_Pump Savings'!M55,"FLOW")</f>
        <v>0</v>
      </c>
      <c r="N55" s="121">
        <f>displayValue('Model_Pump Savings'!N55,"VOLUME")</f>
        <v>0</v>
      </c>
      <c r="O55" s="122">
        <f>I55*Home!$F$10</f>
        <v>343.92401797416221</v>
      </c>
      <c r="P55" s="105"/>
      <c r="Q55" s="29" t="str">
        <f>Tr("PUMP_COSTS_LOWER","Pump costs")</f>
        <v>Pump costs</v>
      </c>
      <c r="R55" s="59">
        <f>R58*Home!$F$10</f>
        <v>677.10041038663189</v>
      </c>
      <c r="V55" s="66"/>
    </row>
    <row r="56" spans="2:22">
      <c r="B56" s="56">
        <v>75</v>
      </c>
      <c r="C56" s="57">
        <f>Home!$E$34*100</f>
        <v>50</v>
      </c>
      <c r="D56" s="23">
        <f>+Home!$F$37*C56*0.01</f>
        <v>2748.2988204456096</v>
      </c>
      <c r="E56" s="23">
        <f>displayValue('Model_Pump Savings'!E56,"FLOW")</f>
        <v>232.5</v>
      </c>
      <c r="F56" s="23">
        <f>displayValue('Model_Pump Savings'!F56,"HEAD")</f>
        <v>16.875</v>
      </c>
      <c r="G56" s="58">
        <f>displayValue('Model_Pump Savings'!G56,"POWER")</f>
        <v>1.4153814935064934</v>
      </c>
      <c r="H56" s="104">
        <f>displayValue('Model_Pump Savings'!H56,"THERMAL")</f>
        <v>1395000</v>
      </c>
      <c r="I56" s="119">
        <f>(D56*'Model_Pump Savings'!G56)*0.746</f>
        <v>2901.8589016569931</v>
      </c>
      <c r="J56" s="104">
        <f>displayValue('Model_Pump Savings'!J56,"VOLUME")</f>
        <v>38338768.545216255</v>
      </c>
      <c r="K56" s="66"/>
      <c r="L56" s="120">
        <f>SUM(H56/$H$14)</f>
        <v>1</v>
      </c>
      <c r="M56" s="121">
        <f>displayValue('Model_Pump Savings'!M56,"FLOW")</f>
        <v>0</v>
      </c>
      <c r="N56" s="121">
        <f>displayValue('Model_Pump Savings'!N56,"VOLUME")</f>
        <v>0</v>
      </c>
      <c r="O56" s="122">
        <f>I56*Home!$F$10</f>
        <v>290.18589016569933</v>
      </c>
      <c r="P56" s="105"/>
      <c r="Q56" s="60" t="str">
        <f>Tr("ANNUAL_GAL")&amp;" "&amp;UnitText("VOLUME")</f>
        <v>Annual gallons</v>
      </c>
      <c r="R56" s="104">
        <f>displayValue('Model_Pump Savings'!R56,"VOLUME")</f>
        <v>76677537.09043251</v>
      </c>
      <c r="V56" s="66"/>
    </row>
    <row r="57" spans="2:22">
      <c r="B57" s="56">
        <v>50</v>
      </c>
      <c r="C57" s="57">
        <f>Home!$E$35*100</f>
        <v>25</v>
      </c>
      <c r="D57" s="23">
        <f>+Home!$F$37*C57*0.01</f>
        <v>1374.1494102228048</v>
      </c>
      <c r="E57" s="23">
        <f>displayValue('Model_Pump Savings'!E57,"FLOW")</f>
        <v>155</v>
      </c>
      <c r="F57" s="23">
        <f>displayValue('Model_Pump Savings'!F57,"HEAD")</f>
        <v>7.5</v>
      </c>
      <c r="G57" s="58">
        <f>displayValue('Model_Pump Savings'!G57,"POWER")</f>
        <v>0.4193722943722944</v>
      </c>
      <c r="H57" s="104">
        <f>displayValue('Model_Pump Savings'!H57,"THERMAL")</f>
        <v>930000</v>
      </c>
      <c r="I57" s="119">
        <f>(D57*'Model_Pump Savings'!G57)*0.746</f>
        <v>429.90502246770274</v>
      </c>
      <c r="J57" s="104">
        <f>displayValue('Model_Pump Savings'!J57,"VOLUME")</f>
        <v>12779589.515072085</v>
      </c>
      <c r="K57" s="66"/>
      <c r="L57" s="120">
        <f>SUM(H57/$H$15)</f>
        <v>1</v>
      </c>
      <c r="M57" s="121">
        <f>displayValue('Model_Pump Savings'!M57,"FLOW")</f>
        <v>0</v>
      </c>
      <c r="N57" s="121">
        <f>displayValue('Model_Pump Savings'!N57,"VOLUME")</f>
        <v>0</v>
      </c>
      <c r="O57" s="122">
        <f>I57*Home!$F$10</f>
        <v>42.990502246770276</v>
      </c>
      <c r="P57" s="105"/>
      <c r="Q57" s="60" t="str">
        <f>Tr("AVG_GPM")&amp;" "&amp;UnitText("FLOW")</f>
        <v>Avg GPM</v>
      </c>
      <c r="R57" s="61">
        <f>displayValue('Model_Pump Savings'!R57,"FLOW")</f>
        <v>232.50000000000003</v>
      </c>
      <c r="V57" s="66"/>
    </row>
    <row r="58" spans="2:22">
      <c r="B58" s="56">
        <v>25</v>
      </c>
      <c r="C58" s="57">
        <f>Home!$E$36*100</f>
        <v>0</v>
      </c>
      <c r="D58" s="23">
        <f>+Home!$F$37*C58*0.01</f>
        <v>0</v>
      </c>
      <c r="E58" s="23">
        <f>displayValue('Model_Pump Savings'!E58,"FLOW")</f>
        <v>77.5</v>
      </c>
      <c r="F58" s="23">
        <f>displayValue('Model_Pump Savings'!F58,"HEAD")</f>
        <v>1.875</v>
      </c>
      <c r="G58" s="58">
        <f>displayValue('Model_Pump Savings'!G58,"POWER")</f>
        <v>5.24215367965368E-2</v>
      </c>
      <c r="H58" s="104">
        <f>displayValue('Model_Pump Savings'!H58,"THERMAL")</f>
        <v>465000</v>
      </c>
      <c r="I58" s="119">
        <f>(D58*'Model_Pump Savings'!G58)*0.746</f>
        <v>0</v>
      </c>
      <c r="J58" s="104">
        <f>displayValue('Model_Pump Savings'!J58,"VOLUME")</f>
        <v>0</v>
      </c>
      <c r="K58" s="66"/>
      <c r="L58" s="120">
        <f>SUM(H58/$H$16)</f>
        <v>1</v>
      </c>
      <c r="M58" s="121">
        <f>displayValue('Model_Pump Savings'!M58,"FLOW")</f>
        <v>0</v>
      </c>
      <c r="N58" s="121">
        <f>displayValue('Model_Pump Savings'!N58,"VOLUME")</f>
        <v>0</v>
      </c>
      <c r="O58" s="122">
        <f>I58*Home!$F$10</f>
        <v>0</v>
      </c>
      <c r="P58" s="105"/>
      <c r="Q58" s="29" t="str">
        <f>Tr("ENERGY_KWH_HDR","Energy [kWh]")</f>
        <v>Energy [kWh]</v>
      </c>
      <c r="R58" s="104">
        <f>SUMPRODUCT(D55:D58,'Model_Pump Savings'!G55:G58)*0.746</f>
        <v>6771.0041038663185</v>
      </c>
      <c r="U58"/>
    </row>
    <row r="59" spans="2:22">
      <c r="B59" s="69"/>
      <c r="C59" s="117"/>
      <c r="D59" s="105"/>
      <c r="E59" s="105"/>
      <c r="F59" s="105"/>
      <c r="G59" s="115"/>
      <c r="H59" s="112"/>
      <c r="I59" s="108">
        <f>SUM(I55:I58)</f>
        <v>6771.0041038663185</v>
      </c>
      <c r="J59" s="108">
        <f>SUM(J55:J58)</f>
        <v>76677537.09043251</v>
      </c>
      <c r="K59" s="112"/>
      <c r="L59" s="118"/>
      <c r="M59" s="116"/>
      <c r="N59" s="116"/>
      <c r="O59" s="108">
        <f>SUM(O55:O58)</f>
        <v>677.10041038663178</v>
      </c>
      <c r="P59" s="116"/>
      <c r="Q59" s="29"/>
      <c r="R59" s="112"/>
      <c r="U59" s="66"/>
    </row>
    <row r="60" spans="2:22">
      <c r="B60" s="69"/>
      <c r="C60" s="117"/>
      <c r="D60" s="105"/>
      <c r="E60" s="105"/>
      <c r="F60" s="105"/>
      <c r="G60" s="115"/>
      <c r="H60" s="112"/>
      <c r="I60" s="108"/>
      <c r="J60" s="108"/>
      <c r="K60" s="112"/>
      <c r="L60" s="118"/>
      <c r="M60" s="116"/>
      <c r="N60" s="116"/>
      <c r="O60" s="108"/>
      <c r="P60" s="116"/>
      <c r="Q60" s="29"/>
      <c r="R60" s="112"/>
      <c r="S60" s="33"/>
      <c r="V60" s="66"/>
    </row>
    <row r="61" spans="2:22" ht="13.8">
      <c r="B61" s="50" t="str">
        <f>Tr("CHILLED_WATER_COIL_FLOW_AT_DT")&amp;" ["&amp;UnitText("DELTA")&amp;"]:"</f>
        <v>Chilled Water Coil Flow at Delta T [°F]:</v>
      </c>
      <c r="C61" s="51"/>
      <c r="D61" s="51"/>
      <c r="E61" s="52"/>
      <c r="F61" s="348">
        <f>displayValue('Model_Pump Savings'!F61,"DELTA")</f>
        <v>14</v>
      </c>
      <c r="L61" s="29" t="str">
        <f>UnitText("THERMAL")</f>
        <v>BTU/h</v>
      </c>
      <c r="M61" s="29" t="str">
        <f>Tr("INCREASE_WORD","Increase")</f>
        <v>Increase</v>
      </c>
      <c r="N61" s="29" t="str">
        <f>Tr("ADDITIONAL_TRAIL","Additional ")</f>
        <v xml:space="preserve">Additional </v>
      </c>
      <c r="O61" s="29" t="str">
        <f>Tr("ADDITONAL_TYPO","Additonal")</f>
        <v>Additonal</v>
      </c>
      <c r="V61" s="66"/>
    </row>
    <row r="62" spans="2:22">
      <c r="B62" s="29" t="str">
        <f>Tr("LOAD_PCT_HDR","Load [%]")</f>
        <v>Load [%]</v>
      </c>
      <c r="C62" s="54" t="str">
        <f>Tr("TIME_PCT_HDR","Time [%]")</f>
        <v>Time [%]</v>
      </c>
      <c r="D62" s="29" t="str">
        <f>Tr("TIME_H_HDR","Time [h]")</f>
        <v>Time [h]</v>
      </c>
      <c r="E62" s="29" t="str">
        <f>Tr("FLOW_GPM_HDR")&amp;" ["&amp;UnitText("FLOW")&amp;"]"</f>
        <v>Flow [GPM]</v>
      </c>
      <c r="F62" s="29" t="str">
        <f>Tr("HEAD_FT_HDR")&amp;" ["&amp;UnitText("HEAD")&amp;"]"</f>
        <v>Head [ft.]</v>
      </c>
      <c r="G62" s="29" t="str">
        <f>Tr("POWER_HP_HDR")&amp;" ["&amp;UnitText("POWER")&amp;"]"</f>
        <v>Power [HP]</v>
      </c>
      <c r="H62" s="29" t="str">
        <f>UnitText("THERMAL")</f>
        <v>BTU/h</v>
      </c>
      <c r="I62" s="29" t="str">
        <f>Tr("ENERGY_KWH_HDR","Energy [kWh]")</f>
        <v>Energy [kWh]</v>
      </c>
      <c r="J62" s="29" t="str">
        <f>Tr("ANNUAL_GAL")&amp;" "&amp;UnitText("VOLUME")</f>
        <v>Annual gallons</v>
      </c>
      <c r="K62" s="29"/>
      <c r="L62" s="29" t="str">
        <f>Tr("AS_PCT_OF_DESIGN","As % of Design")</f>
        <v>As % of Design</v>
      </c>
      <c r="M62" s="29" t="str">
        <f>Tr("IN_GPM")&amp;" "&amp;UnitText("FLOW")</f>
        <v>In GPM</v>
      </c>
      <c r="N62" s="29" t="str">
        <f>Tr("GAL_PUMPED")&amp;" "&amp;UnitText("VOLUME")</f>
        <v>Pumped gallons</v>
      </c>
      <c r="O62" s="29" t="str">
        <f>Tr("PUMP_COSTS_TITLE","Pump Costs")</f>
        <v>Pump Costs</v>
      </c>
      <c r="P62" s="114"/>
      <c r="Q62" s="29"/>
      <c r="R62" s="29" t="str">
        <f>Tr("PUMP_COSTS_LOWER","Pump costs")</f>
        <v>Pump costs</v>
      </c>
      <c r="V62" s="66"/>
    </row>
    <row r="63" spans="2:22">
      <c r="B63" s="56">
        <v>100</v>
      </c>
      <c r="C63" s="57">
        <f>Home!$E$33*100</f>
        <v>25</v>
      </c>
      <c r="D63" s="23">
        <f>+Home!$F$37*C63*0.01</f>
        <v>1374.1494102228048</v>
      </c>
      <c r="E63" s="23">
        <f>displayValue('Model_Pump Savings'!E63,"FLOW")</f>
        <v>265.71428571428572</v>
      </c>
      <c r="F63" s="23">
        <f>displayValue('Model_Pump Savings'!F63,"HEAD")</f>
        <v>22.040816326530617</v>
      </c>
      <c r="G63" s="58">
        <f>displayValue('Model_Pump Savings'!G63,"POWER")</f>
        <v>2.1127560486161072</v>
      </c>
      <c r="H63" s="104">
        <f>displayValue('Model_Pump Savings'!H63,"THERMAL")</f>
        <v>1860000</v>
      </c>
      <c r="I63" s="119">
        <f>(D63*'Model_Pump Savings'!G63)*0.746</f>
        <v>2165.8188887002634</v>
      </c>
      <c r="J63" s="104">
        <f>displayValue('Model_Pump Savings'!J63,"VOLUME")</f>
        <v>21907867.740123574</v>
      </c>
      <c r="K63" s="66"/>
      <c r="L63" s="120">
        <f>SUM(H63/$H$13)</f>
        <v>1</v>
      </c>
      <c r="M63" s="121">
        <f>displayValue('Model_Pump Savings'!M63,"FLOW")</f>
        <v>-44.285714285714278</v>
      </c>
      <c r="N63" s="121">
        <f>displayValue('Model_Pump Savings'!N63,"VOLUME")</f>
        <v>-3651311.2900205962</v>
      </c>
      <c r="O63" s="122">
        <f>I63*Home!$F$10</f>
        <v>216.58188887002635</v>
      </c>
      <c r="P63" s="105"/>
      <c r="Q63" s="29" t="str">
        <f>Tr("PUMP_COSTS_LOWER","Pump costs")</f>
        <v>Pump costs</v>
      </c>
      <c r="R63" s="59">
        <f>R66*Home!$F$10</f>
        <v>426.39559371286435</v>
      </c>
      <c r="V63" s="66"/>
    </row>
    <row r="64" spans="2:22">
      <c r="B64" s="56">
        <v>75</v>
      </c>
      <c r="C64" s="57">
        <f>Home!$E$34*100</f>
        <v>50</v>
      </c>
      <c r="D64" s="23">
        <f>+Home!$F$37*C64*0.01</f>
        <v>2748.2988204456096</v>
      </c>
      <c r="E64" s="23">
        <f>displayValue('Model_Pump Savings'!E64,"FLOW")</f>
        <v>199.28571428571428</v>
      </c>
      <c r="F64" s="23">
        <f>displayValue('Model_Pump Savings'!F64,"HEAD")</f>
        <v>12.397959183673466</v>
      </c>
      <c r="G64" s="58">
        <f>displayValue('Model_Pump Savings'!G64,"POWER")</f>
        <v>0.89131895800991978</v>
      </c>
      <c r="H64" s="104">
        <f>displayValue('Model_Pump Savings'!H64,"THERMAL")</f>
        <v>1395000</v>
      </c>
      <c r="I64" s="119">
        <f>(D64*'Model_Pump Savings'!G64)*0.746</f>
        <v>1827.4096873408464</v>
      </c>
      <c r="J64" s="104">
        <f>displayValue('Model_Pump Savings'!J64,"VOLUME")</f>
        <v>32861801.610185362</v>
      </c>
      <c r="K64" s="66"/>
      <c r="L64" s="120">
        <f>SUM(H64/$H$14)</f>
        <v>1</v>
      </c>
      <c r="M64" s="121">
        <f>displayValue('Model_Pump Savings'!M64,"FLOW")</f>
        <v>-33.214285714285722</v>
      </c>
      <c r="N64" s="121">
        <f>displayValue('Model_Pump Savings'!N64,"VOLUME")</f>
        <v>-5476966.9350308925</v>
      </c>
      <c r="O64" s="122">
        <f>I64*Home!$F$10</f>
        <v>182.74096873408465</v>
      </c>
      <c r="P64" s="105"/>
      <c r="Q64" s="60" t="str">
        <f>Tr("ANNUAL_GAL")&amp;" "&amp;UnitText("VOLUME")</f>
        <v>Annual gallons</v>
      </c>
      <c r="R64" s="104">
        <f>displayValue('Model_Pump Savings'!R64,"VOLUME")</f>
        <v>65723603.220370725</v>
      </c>
      <c r="V64" s="66"/>
    </row>
    <row r="65" spans="2:21">
      <c r="B65" s="56">
        <v>50</v>
      </c>
      <c r="C65" s="57">
        <f>Home!$E$35*100</f>
        <v>25</v>
      </c>
      <c r="D65" s="23">
        <f>+Home!$F$37*C65*0.01</f>
        <v>1374.1494102228048</v>
      </c>
      <c r="E65" s="23">
        <f>displayValue('Model_Pump Savings'!E65,"FLOW")</f>
        <v>132.85714285714286</v>
      </c>
      <c r="F65" s="23">
        <f>displayValue('Model_Pump Savings'!F65,"HEAD")</f>
        <v>5.5102040816326543</v>
      </c>
      <c r="G65" s="58">
        <f>displayValue('Model_Pump Savings'!G65,"POWER")</f>
        <v>0.2640945060770134</v>
      </c>
      <c r="H65" s="104">
        <f>displayValue('Model_Pump Savings'!H65,"THERMAL")</f>
        <v>930000</v>
      </c>
      <c r="I65" s="119">
        <f>(D65*'Model_Pump Savings'!G65)*0.746</f>
        <v>270.72736108753293</v>
      </c>
      <c r="J65" s="104">
        <f>displayValue('Model_Pump Savings'!J65,"VOLUME")</f>
        <v>10953933.870061787</v>
      </c>
      <c r="K65" s="66"/>
      <c r="L65" s="120">
        <f>SUM(H65/$H$15)</f>
        <v>1</v>
      </c>
      <c r="M65" s="121">
        <f>displayValue('Model_Pump Savings'!M65,"FLOW")</f>
        <v>-22.142857142857139</v>
      </c>
      <c r="N65" s="121">
        <f>displayValue('Model_Pump Savings'!N65,"VOLUME")</f>
        <v>-1825655.6450102981</v>
      </c>
      <c r="O65" s="122">
        <f>I65*Home!$F$10</f>
        <v>27.072736108753293</v>
      </c>
      <c r="P65" s="105"/>
      <c r="Q65" s="60" t="str">
        <f>Tr("AVG_GPM")&amp;" "&amp;UnitText("FLOW")</f>
        <v>Avg GPM</v>
      </c>
      <c r="R65" s="61">
        <f>displayValue('Model_Pump Savings'!R65,"FLOW")</f>
        <v>199.28571428571431</v>
      </c>
      <c r="U65" s="66"/>
    </row>
    <row r="66" spans="2:21">
      <c r="B66" s="56">
        <v>25</v>
      </c>
      <c r="C66" s="57">
        <f>Home!$E$36*100</f>
        <v>0</v>
      </c>
      <c r="D66" s="23">
        <f>+Home!$F$37*C66*0.01</f>
        <v>0</v>
      </c>
      <c r="E66" s="23">
        <f>displayValue('Model_Pump Savings'!E66,"FLOW")</f>
        <v>66.428571428571431</v>
      </c>
      <c r="F66" s="23">
        <f>displayValue('Model_Pump Savings'!F66,"HEAD")</f>
        <v>1.3775510204081636</v>
      </c>
      <c r="G66" s="58">
        <f>displayValue('Model_Pump Savings'!G66,"POWER")</f>
        <v>3.3011813259626675E-2</v>
      </c>
      <c r="H66" s="104">
        <f>displayValue('Model_Pump Savings'!H66,"THERMAL")</f>
        <v>465000</v>
      </c>
      <c r="I66" s="119">
        <f>(D66*'Model_Pump Savings'!G66)*0.746</f>
        <v>0</v>
      </c>
      <c r="J66" s="104">
        <f>displayValue('Model_Pump Savings'!J66,"VOLUME")</f>
        <v>0</v>
      </c>
      <c r="K66" s="66"/>
      <c r="L66" s="120">
        <f>SUM(H66/$H$16)</f>
        <v>1</v>
      </c>
      <c r="M66" s="121">
        <f>displayValue('Model_Pump Savings'!M66,"FLOW")</f>
        <v>-11.071428571428569</v>
      </c>
      <c r="N66" s="121">
        <f>displayValue('Model_Pump Savings'!N66,"VOLUME")</f>
        <v>0</v>
      </c>
      <c r="O66" s="122">
        <f>I66*Home!$F$10</f>
        <v>0</v>
      </c>
      <c r="P66" s="105"/>
      <c r="Q66" s="29" t="str">
        <f>Tr("ENERGY_KWH_HDR","Energy [kWh]")</f>
        <v>Energy [kWh]</v>
      </c>
      <c r="R66" s="104">
        <f>SUMPRODUCT(D63:D66,'Model_Pump Savings'!G63:G66)*0.746</f>
        <v>4263.9559371286432</v>
      </c>
      <c r="U66" s="66"/>
    </row>
    <row r="67" spans="2:21">
      <c r="B67" s="69"/>
      <c r="C67" s="117"/>
      <c r="D67" s="105"/>
      <c r="E67" s="105"/>
      <c r="F67" s="105"/>
      <c r="G67" s="115"/>
      <c r="H67" s="112"/>
      <c r="I67" s="108">
        <f>SUM(I63:I66)</f>
        <v>4263.9559371286423</v>
      </c>
      <c r="J67" s="108">
        <f>SUM(J63:J66)</f>
        <v>65723603.220370725</v>
      </c>
      <c r="K67" s="112"/>
      <c r="L67" s="118"/>
      <c r="M67" s="116"/>
      <c r="N67" s="116"/>
      <c r="O67" s="108">
        <f>SUM(O63:O66)</f>
        <v>426.3955937128643</v>
      </c>
      <c r="P67" s="116"/>
      <c r="Q67" s="29"/>
      <c r="R67" s="112"/>
      <c r="U67" s="66"/>
    </row>
    <row r="68" spans="2:21">
      <c r="B68" s="69"/>
      <c r="C68" s="117"/>
      <c r="D68" s="105"/>
      <c r="E68" s="105"/>
      <c r="F68" s="105"/>
      <c r="G68" s="115"/>
      <c r="H68" s="112"/>
      <c r="I68" s="108"/>
      <c r="J68" s="108"/>
      <c r="K68" s="112"/>
      <c r="L68" s="118"/>
      <c r="M68" s="116"/>
      <c r="N68" s="116"/>
      <c r="O68" s="108"/>
      <c r="P68" s="116"/>
      <c r="Q68" s="29"/>
      <c r="R68" s="112"/>
      <c r="U68" s="66"/>
    </row>
    <row r="69" spans="2:21">
      <c r="B69" s="69"/>
      <c r="C69" s="117"/>
      <c r="D69" s="105"/>
      <c r="E69" s="105"/>
      <c r="F69" s="105"/>
      <c r="G69" s="115"/>
      <c r="H69" s="112"/>
      <c r="I69" s="108"/>
      <c r="J69" s="108"/>
      <c r="K69" s="112"/>
      <c r="L69" s="118"/>
      <c r="M69" s="116"/>
      <c r="N69" s="116"/>
      <c r="O69" s="108"/>
      <c r="P69" s="116"/>
      <c r="Q69" s="29"/>
      <c r="R69" s="112"/>
    </row>
    <row r="70" spans="2:21" ht="19.5" customHeight="1"/>
    <row r="71" spans="2:21" ht="26.25" customHeight="1">
      <c r="B71" s="270"/>
      <c r="C71" s="270"/>
      <c r="D71" s="270"/>
      <c r="E71" s="270"/>
      <c r="F71" s="271"/>
      <c r="G71" s="271"/>
    </row>
    <row r="72" spans="2:21" ht="18.75" customHeight="1">
      <c r="B72" s="272"/>
      <c r="C72" s="273"/>
      <c r="D72" s="272"/>
      <c r="E72" s="274"/>
      <c r="F72" s="273"/>
      <c r="G72" s="273"/>
    </row>
    <row r="73" spans="2:21" ht="18.75" customHeight="1">
      <c r="B73" s="272"/>
      <c r="C73" s="273"/>
      <c r="D73" s="272"/>
      <c r="E73" s="274"/>
      <c r="F73" s="273"/>
      <c r="G73" s="273"/>
      <c r="L73" s="320"/>
      <c r="M73" s="320"/>
      <c r="N73" s="320"/>
    </row>
    <row r="74" spans="2:21" ht="18.75" customHeight="1">
      <c r="B74" s="275"/>
      <c r="C74" s="273"/>
      <c r="D74" s="272"/>
      <c r="E74" s="274"/>
      <c r="F74" s="273"/>
      <c r="G74" s="273"/>
      <c r="L74" s="276"/>
      <c r="M74" s="276"/>
      <c r="N74" s="276"/>
    </row>
    <row r="75" spans="2:21" ht="18.75" customHeight="1">
      <c r="B75" s="272"/>
      <c r="C75" s="273"/>
      <c r="D75" s="272"/>
      <c r="E75" s="274"/>
      <c r="F75" s="273"/>
      <c r="G75" s="273"/>
      <c r="L75" s="113"/>
      <c r="M75" s="113"/>
      <c r="N75" s="113"/>
    </row>
    <row r="76" spans="2:21" ht="18.75" customHeight="1">
      <c r="B76" s="272"/>
      <c r="C76" s="273"/>
      <c r="D76" s="272"/>
      <c r="E76" s="274"/>
      <c r="F76" s="273"/>
      <c r="G76" s="273"/>
    </row>
    <row r="77" spans="2:21" ht="17.25" customHeight="1">
      <c r="B77" s="272"/>
      <c r="C77" s="273"/>
      <c r="D77" s="272"/>
      <c r="E77" s="274"/>
      <c r="F77" s="273"/>
      <c r="G77" s="273"/>
    </row>
    <row r="78" spans="2:21" ht="12.75" customHeight="1">
      <c r="B78" s="277"/>
      <c r="C78" s="277"/>
      <c r="D78" s="277"/>
      <c r="E78" s="277"/>
      <c r="F78" s="277"/>
      <c r="G78" s="277"/>
    </row>
    <row r="79" spans="2:21">
      <c r="B79" s="317"/>
      <c r="C79" s="317"/>
      <c r="D79" s="317"/>
      <c r="E79" s="277"/>
      <c r="F79" s="277"/>
      <c r="G79" s="277"/>
    </row>
    <row r="80" spans="2:21" ht="13.8">
      <c r="B80" s="317"/>
      <c r="C80" s="317"/>
      <c r="D80" s="317"/>
      <c r="E80" s="278"/>
      <c r="F80" s="273"/>
      <c r="G80" s="279"/>
    </row>
    <row r="81" spans="2:13">
      <c r="B81" s="277"/>
      <c r="C81" s="277"/>
      <c r="D81" s="277"/>
      <c r="E81" s="277"/>
      <c r="F81" s="277"/>
      <c r="G81" s="277"/>
    </row>
    <row r="82" spans="2:13" ht="19.5" customHeight="1">
      <c r="B82" s="312"/>
      <c r="C82" s="313"/>
      <c r="D82" s="313"/>
      <c r="E82" s="313"/>
      <c r="F82" s="313"/>
      <c r="G82" s="313"/>
    </row>
    <row r="83" spans="2:13" ht="18.75" customHeight="1">
      <c r="B83" s="280"/>
      <c r="C83" s="280"/>
      <c r="D83" s="277"/>
      <c r="E83" s="277"/>
      <c r="F83" s="277"/>
      <c r="G83" s="277"/>
    </row>
    <row r="84" spans="2:13" ht="13.8">
      <c r="B84" s="281"/>
      <c r="C84" s="281"/>
      <c r="D84" s="277"/>
      <c r="E84" s="278"/>
      <c r="F84" s="273"/>
      <c r="G84" s="279"/>
    </row>
    <row r="85" spans="2:13">
      <c r="E85" s="282"/>
      <c r="F85" s="282"/>
      <c r="G85" s="282"/>
    </row>
    <row r="86" spans="2:13" ht="19.5" customHeight="1">
      <c r="E86" s="282"/>
      <c r="F86" s="282"/>
      <c r="G86" s="282"/>
    </row>
    <row r="93" spans="2:13">
      <c r="B93" s="283"/>
      <c r="C93" s="284"/>
      <c r="D93" s="284"/>
      <c r="E93" s="284"/>
      <c r="F93" s="284"/>
      <c r="G93" s="285"/>
      <c r="H93" s="286"/>
      <c r="I93" s="287"/>
      <c r="J93" s="287"/>
      <c r="K93" s="288"/>
      <c r="M93" s="289"/>
    </row>
    <row r="94" spans="2:13">
      <c r="B94" s="283"/>
      <c r="C94" s="284"/>
      <c r="D94" s="284"/>
      <c r="E94" s="284"/>
      <c r="F94" s="284"/>
      <c r="G94" s="290"/>
      <c r="H94" s="286"/>
      <c r="I94" s="287"/>
      <c r="J94" s="287"/>
      <c r="K94" s="288"/>
      <c r="M94" s="291"/>
    </row>
    <row r="95" spans="2:13">
      <c r="B95" s="283"/>
      <c r="C95" s="284"/>
      <c r="D95" s="284"/>
      <c r="E95" s="284"/>
      <c r="F95" s="284"/>
      <c r="G95" s="290"/>
      <c r="H95" s="286"/>
      <c r="I95" s="287"/>
      <c r="J95" s="287"/>
      <c r="K95" s="288"/>
      <c r="M95" s="291"/>
    </row>
  </sheetData>
  <sheetProtection algorithmName="SHA-512" hashValue="olMxKqFRB/de+FI0ekrkNddCIly5CH35COeIETQ22PK8+Y2iDyl+5GiN1XLjO9v+freje6YpF+/uGhBKZPAkdA==" saltValue="6a9niBq6rFaIk538Fjmshg==" spinCount="100000" sheet="1" objects="1" scenarios="1"/>
  <mergeCells count="9">
    <mergeCell ref="B82:G82"/>
    <mergeCell ref="B19:J19"/>
    <mergeCell ref="I7:Q7"/>
    <mergeCell ref="B79:D80"/>
    <mergeCell ref="L19:R19"/>
    <mergeCell ref="L73:N73"/>
    <mergeCell ref="G10:H10"/>
    <mergeCell ref="J10:K10"/>
    <mergeCell ref="L10:M10"/>
  </mergeCells>
  <dataValidations count="1">
    <dataValidation type="decimal" allowBlank="1" showInputMessage="1" showErrorMessage="1" errorTitle="Entry Error" error="Values must be between 100% and 800%." promptTitle="Pump Design Flow " sqref="F5" xr:uid="{E3AEA360-F39F-4BDC-B408-F9D527CD2BCD}">
      <formula1>1</formula1>
      <formula2>8</formula2>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A4AF23-893B-41AE-ACEA-FCA3EB2BF56E}">
  <sheetPr codeName="Sheet6">
    <tabColor rgb="FFFF6600"/>
  </sheetPr>
  <dimension ref="E5:R66"/>
  <sheetViews>
    <sheetView workbookViewId="0"/>
  </sheetViews>
  <sheetFormatPr defaultRowHeight="13.2"/>
  <sheetData>
    <row r="5" spans="5:16">
      <c r="N5">
        <f>SQRT(O5/$F$13)*$E$13</f>
        <v>0</v>
      </c>
      <c r="O5">
        <f>+F6</f>
        <v>0</v>
      </c>
      <c r="P5">
        <f>(N5*O5)/(3960*Model_Home!$F$16/100)</f>
        <v>0</v>
      </c>
    </row>
    <row r="7" spans="5:16">
      <c r="F7">
        <v>310</v>
      </c>
    </row>
    <row r="8" spans="5:16">
      <c r="F8">
        <f>Model_Home!F18</f>
        <v>12</v>
      </c>
    </row>
    <row r="9" spans="5:16">
      <c r="F9">
        <f>SUM($F$7/(24/$F$8))</f>
        <v>155</v>
      </c>
    </row>
    <row r="10" spans="5:16">
      <c r="F10">
        <f>(F7*F8)*500</f>
        <v>1860000</v>
      </c>
    </row>
    <row r="13" spans="5:16">
      <c r="E13">
        <f>$F$7</f>
        <v>310</v>
      </c>
      <c r="F13">
        <f>Model_Home!$F$16</f>
        <v>30</v>
      </c>
      <c r="G13">
        <f>(E13*F13)/(3960*Home!$F$17/100)</f>
        <v>3.3549783549783552</v>
      </c>
      <c r="H13">
        <f>SUM(E13*$F$8)*500</f>
        <v>1860000</v>
      </c>
      <c r="J13">
        <f>('Pump Savings'!D13*E13)*60</f>
        <v>25559179.03014417</v>
      </c>
    </row>
    <row r="14" spans="5:16">
      <c r="E14">
        <f>+IF(($E$13*'Pump Savings'!B14/100)&lt;$N$5,$N$5,($E$13*'Pump Savings'!B14/100))</f>
        <v>232.5</v>
      </c>
      <c r="F14">
        <f>IF(($F$13*(E14/$E$13)^2)&lt;$F$6,$F$6,($F$13*(E14/$E$13)^2))</f>
        <v>16.875</v>
      </c>
      <c r="G14">
        <f>(E14*F14)/(3960*Home!$F$17/100)</f>
        <v>1.4153814935064934</v>
      </c>
      <c r="H14">
        <f>SUM(E14*$F$8)*500</f>
        <v>1395000</v>
      </c>
      <c r="J14">
        <f>('Pump Savings'!D14*E14)*60</f>
        <v>38338768.545216255</v>
      </c>
      <c r="N14">
        <f>SUMPRODUCT(E13:E16,'Pump Savings'!D13:'Pump Savings'!D16)*60</f>
        <v>76677537.09043251</v>
      </c>
    </row>
    <row r="15" spans="5:16">
      <c r="E15">
        <f>+IF(($E$13*'Pump Savings'!B15/100)&lt;$N$5,$N$5,($E$13*'Pump Savings'!B15/100))</f>
        <v>155</v>
      </c>
      <c r="F15">
        <f>IF(($F$13*(E15/$E$13)^2)&lt;$F$6,$F$6,($F$13*(E15/$E$13)^2))</f>
        <v>7.5</v>
      </c>
      <c r="G15">
        <f>(E15*F15)/(3960*Home!$F$17/100)</f>
        <v>0.4193722943722944</v>
      </c>
      <c r="H15">
        <f>SUM(E15*$F$8)*500</f>
        <v>930000</v>
      </c>
      <c r="J15">
        <f>('Pump Savings'!D15*E15)*60</f>
        <v>12779589.515072085</v>
      </c>
      <c r="N15">
        <f>+N14/(60*Home!$F$37)</f>
        <v>232.50000000000003</v>
      </c>
    </row>
    <row r="16" spans="5:16">
      <c r="E16">
        <f>+IF(($E$13*'Pump Savings'!B16/100)&lt;$N$5,$N$5,($E$13*'Pump Savings'!B16/100))</f>
        <v>77.5</v>
      </c>
      <c r="F16">
        <f>IF(($F$13*(E16/$E$13)^2)&lt;$F$6,$F$6,($F$13*(E16/$E$13)^2))</f>
        <v>1.875</v>
      </c>
      <c r="G16">
        <f>(E16*F16)/(3960*Home!$F$17/100)</f>
        <v>5.24215367965368E-2</v>
      </c>
      <c r="H16">
        <f>SUM(E16*$F$8)*500</f>
        <v>465000</v>
      </c>
      <c r="J16">
        <f>('Pump Savings'!D16*E16)*60</f>
        <v>0</v>
      </c>
    </row>
    <row r="21" spans="5:18">
      <c r="F21">
        <v>4</v>
      </c>
    </row>
    <row r="23" spans="5:18">
      <c r="E23">
        <f>IF($F$9*'Pump Savings'!B23*0.01*24/F21&gt;$E$13*'Pump Savings'!$F$5,$E$13*'Pump Savings'!$F$5,$F$9*'Pump Savings'!B23*0.01*24/F21)</f>
        <v>387.5</v>
      </c>
      <c r="F23">
        <f>IF(($F$13*(E23/$E$13)^2)&lt;$F$6,$F$6,($F$13*(E23/$E$13)^2))</f>
        <v>46.875</v>
      </c>
      <c r="G23">
        <f>(E23*F23)/(3960*Home!$F$17/100)</f>
        <v>6.5526920995670999</v>
      </c>
      <c r="H23">
        <f>SUM(E23*$F$21)*500</f>
        <v>775000</v>
      </c>
      <c r="J23">
        <f>('Pump Savings'!D23*E23)*60</f>
        <v>31948973.787680212</v>
      </c>
      <c r="M23">
        <f>SUM(E23-$E$13)</f>
        <v>77.5</v>
      </c>
      <c r="N23">
        <f>SUM(J23-$J$13)</f>
        <v>6389794.7575360425</v>
      </c>
    </row>
    <row r="24" spans="5:18">
      <c r="E24">
        <f>IF(IF($F$9*12000*'Pump Savings'!B24/(100*500*$F$21)&gt;$E$13*'Pump Savings'!$F$5,$E$13*'Pump Savings'!$F$5,$F$9*12000*'Pump Savings'!B24/(100*500*$F$21))&lt;$N$5,$N$5,IF($F$9*12000*'Pump Savings'!B24/(100*500*$F$21)&gt;$E$13*'Pump Savings'!$F$5,$E$13*'Pump Savings'!$F$5,$F$9*12000*'Pump Savings'!B24/(100*500*$F$21)))</f>
        <v>387.5</v>
      </c>
      <c r="F24">
        <f>IF(($F$13*(E24/$E$13)^2)&lt;$F$6,$F$6,($F$13*(E24/$E$13)^2))</f>
        <v>46.875</v>
      </c>
      <c r="G24">
        <f>(E24*F24)/(3960*Home!$F$17/100)</f>
        <v>6.5526920995670999</v>
      </c>
      <c r="H24">
        <f>SUM(E24*$F$21)*500</f>
        <v>775000</v>
      </c>
      <c r="J24">
        <f>('Pump Savings'!D24*E24)*60</f>
        <v>63897947.575360425</v>
      </c>
      <c r="M24">
        <f>SUM(E24-$E$14)</f>
        <v>155</v>
      </c>
      <c r="N24">
        <f>SUM(J24-$J$14)</f>
        <v>25559179.03014417</v>
      </c>
      <c r="R24">
        <f>SUMPRODUCT(E23:E26,'Pump Savings'!D23:'Pump Savings'!D26)*60</f>
        <v>127795895.15072085</v>
      </c>
    </row>
    <row r="25" spans="5:18">
      <c r="E25">
        <f>IF(IF($F$9*12000*'Pump Savings'!B25/(100*500*$F$21)&gt;$E$13*'Pump Savings'!$F$5,$E$13*'Pump Savings'!$F$5,$F$9*12000*'Pump Savings'!B25/(100*500*$F$21))&lt;$N$5,$N$5,IF($F$9*12000*'Pump Savings'!B25/(100*500*$F$21)&gt;$E$13*'Pump Savings'!$F$5,$E$13*'Pump Savings'!$F$5,$F$9*12000*'Pump Savings'!B25/(100*500*$F$21)))</f>
        <v>387.5</v>
      </c>
      <c r="F25">
        <f>IF(($F$13*(E25/$E$13)^2)&lt;$F$6,$F$6,($F$13*(E25/$E$13)^2))</f>
        <v>46.875</v>
      </c>
      <c r="G25">
        <f>(E25*F25)/(3960*Home!$F$17/100)</f>
        <v>6.5526920995670999</v>
      </c>
      <c r="H25">
        <f>SUM(E25*$F$21)*500</f>
        <v>775000</v>
      </c>
      <c r="J25">
        <f>('Pump Savings'!D25*E25)*60</f>
        <v>31948973.787680212</v>
      </c>
      <c r="M25">
        <f>SUM(E25-$E$15)</f>
        <v>232.5</v>
      </c>
      <c r="N25">
        <f>SUM(J25-$J$15)</f>
        <v>19169384.272608127</v>
      </c>
      <c r="R25">
        <f>+R24/(60*Home!$F$37)</f>
        <v>387.50000000000006</v>
      </c>
    </row>
    <row r="26" spans="5:18">
      <c r="E26">
        <f>IF(IF($F$9*12000*'Pump Savings'!B26/(100*500*$F$21)&gt;$E$13*'Pump Savings'!$F$5,$E$13*'Pump Savings'!$F$5,$F$9*12000*'Pump Savings'!B26/(100*500*$F$21))&lt;$N$5,$N$5,IF($F$9*12000*'Pump Savings'!B26/(100*500*$F$21)&gt;$E$13*'Pump Savings'!$F$5,$E$13*'Pump Savings'!$F$5,$F$9*12000*'Pump Savings'!B26/(100*500*$F$21)))</f>
        <v>232.5</v>
      </c>
      <c r="F26">
        <f>IF(($F$13*(E26/$E$13)^2)&lt;$F$6,$F$6,($F$13*(E26/$E$13)^2))</f>
        <v>16.875</v>
      </c>
      <c r="G26">
        <f>(E26*F26)/(3960*Home!$F$17/100)</f>
        <v>1.4153814935064934</v>
      </c>
      <c r="H26">
        <f>SUM(E26*$F$21)*500</f>
        <v>465000</v>
      </c>
      <c r="J26">
        <f>('Pump Savings'!D26*E26)*60</f>
        <v>0</v>
      </c>
      <c r="M26">
        <f>SUM(E26-$E$16)</f>
        <v>155</v>
      </c>
      <c r="N26">
        <f>SUM(J26-$J$16)</f>
        <v>0</v>
      </c>
    </row>
    <row r="29" spans="5:18">
      <c r="F29">
        <v>6</v>
      </c>
    </row>
    <row r="31" spans="5:18">
      <c r="E31">
        <f>IF($F$9*'Pump Savings'!B31*0.01*24/(F29)&gt;$E$13*'Pump Savings'!$F$5,$E$13*'Pump Savings'!$F$5,$F$9*'Pump Savings'!B31*0.01*24/(F29))</f>
        <v>387.5</v>
      </c>
      <c r="F31">
        <f>IF(($F$13*(E31/$E$13)^2)&lt;$F$6,$F$6,($F$13*(E31/$E$13)^2))</f>
        <v>46.875</v>
      </c>
      <c r="G31">
        <f>(E31*F31)/(3960*Home!$F$17/100)</f>
        <v>6.5526920995670999</v>
      </c>
      <c r="H31">
        <f>SUM(E31*$F$29)*500</f>
        <v>1162500</v>
      </c>
      <c r="J31">
        <f>('Pump Savings'!D31*E31)*60</f>
        <v>31948973.787680212</v>
      </c>
      <c r="M31">
        <f>SUM(E31-$E$13)</f>
        <v>77.5</v>
      </c>
      <c r="N31">
        <f>SUM(J31-$J$13)</f>
        <v>6389794.7575360425</v>
      </c>
    </row>
    <row r="32" spans="5:18">
      <c r="E32">
        <f>IF(IF($F$9*12000*'Pump Savings'!B32/(100*500*$F$29)&gt;$E$13*'Pump Savings'!$F$5,$E$13*'Pump Savings'!$F$5,$F$9*12000*'Pump Savings'!B32/(100*500*$F$29))&lt;$N$5,$N$5,IF($F$9*12000*'Pump Savings'!B32/(100*500*$F$29)&gt;$E$13*'Pump Savings'!$F$5,$E$13*'Pump Savings'!$F$5,$F$9*12000*'Pump Savings'!B32/(100*500*$F$29)))</f>
        <v>387.5</v>
      </c>
      <c r="F32">
        <f>IF(($F$13*(E32/$E$13)^2)&lt;$F$6,$F$6,($F$13*(E32/$E$13)^2))</f>
        <v>46.875</v>
      </c>
      <c r="G32">
        <f>(E32*F32)/(3960*Home!$F$17/100)</f>
        <v>6.5526920995670999</v>
      </c>
      <c r="H32">
        <f>SUM(E32*$F$29)*500</f>
        <v>1162500</v>
      </c>
      <c r="J32">
        <f>('Pump Savings'!D32*E32)*60</f>
        <v>63897947.575360425</v>
      </c>
      <c r="M32">
        <f>SUM(E32-$E$14)</f>
        <v>155</v>
      </c>
      <c r="N32">
        <f>SUM(J32-$J$14)</f>
        <v>25559179.03014417</v>
      </c>
      <c r="R32">
        <f>SUMPRODUCT(E31:E34,'Pump Savings'!D31:'Pump Savings'!D34)*60</f>
        <v>121406100.39318481</v>
      </c>
    </row>
    <row r="33" spans="5:18">
      <c r="E33">
        <f>IF(IF($F$9*12000*'Pump Savings'!B33/(100*500*$F$29)&gt;$E$13*'Pump Savings'!$F$5,$E$13*'Pump Savings'!$F$5,$F$9*12000*'Pump Savings'!B33/(100*500*$F$29))&lt;$N$5,$N$5,IF($F$9*12000*'Pump Savings'!B33/(100*500*$F$29)&gt;$E$13*'Pump Savings'!$F$5,$E$13*'Pump Savings'!$F$5,$F$9*12000*'Pump Savings'!B33/(100*500*$F$29)))</f>
        <v>310</v>
      </c>
      <c r="F33">
        <f>IF(($F$13*(E33/$E$13)^2)&lt;$F$6,$F$6,($F$13*(E33/$E$13)^2))</f>
        <v>30</v>
      </c>
      <c r="G33">
        <f>(E33*F33)/(3960*Home!$F$17/100)</f>
        <v>3.3549783549783552</v>
      </c>
      <c r="H33">
        <f>SUM(E33*$F$29)*500</f>
        <v>930000</v>
      </c>
      <c r="J33">
        <f>('Pump Savings'!D33*E33)*60</f>
        <v>25559179.03014417</v>
      </c>
      <c r="M33">
        <f>SUM(E33-$E$15)</f>
        <v>155</v>
      </c>
      <c r="N33">
        <f>SUM(J33-$J$15)</f>
        <v>12779589.515072085</v>
      </c>
      <c r="R33">
        <f>+R32/(60*Home!$F$37)</f>
        <v>368.12500000000006</v>
      </c>
    </row>
    <row r="34" spans="5:18">
      <c r="E34">
        <f>IF(IF($F$9*12000*'Pump Savings'!B34/(100*500*$F$29)&gt;$E$13*'Pump Savings'!$F$5,$E$13*'Pump Savings'!$F$5,$F$9*12000*'Pump Savings'!B34/(100*500*$F$29))&lt;$N$5,$N$5,IF($F$9*12000*'Pump Savings'!B34/(100*500*$F$29)&gt;$E$13*'Pump Savings'!$F$5,$E$13*'Pump Savings'!$F$5,$F$9*12000*'Pump Savings'!B34/(100*500*$F$29)))</f>
        <v>155</v>
      </c>
      <c r="F34">
        <f>IF(($F$13*(E34/$E$13)^2)&lt;$F$6,$F$6,($F$13*(E34/$E$13)^2))</f>
        <v>7.5</v>
      </c>
      <c r="G34">
        <f>(E34*F34)/(3960*Home!$F$17/100)</f>
        <v>0.4193722943722944</v>
      </c>
      <c r="H34">
        <f>SUM(E34*$F$29)*500</f>
        <v>465000</v>
      </c>
      <c r="J34">
        <f>('Pump Savings'!D34*E34)*60</f>
        <v>0</v>
      </c>
      <c r="M34">
        <f>SUM(E34-$E$16)</f>
        <v>77.5</v>
      </c>
      <c r="N34">
        <f>SUM(J34-$J$16)</f>
        <v>0</v>
      </c>
    </row>
    <row r="37" spans="5:18">
      <c r="F37">
        <v>8</v>
      </c>
    </row>
    <row r="39" spans="5:18">
      <c r="E39">
        <f>IF($F$9*'Pump Savings'!B39*0.01*24/(F37)&gt;$E$13*'Pump Savings'!$F$5,$E$13*'Pump Savings'!$F$5,$F$9*'Pump Savings'!B39*0.01*24/(F37))</f>
        <v>387.5</v>
      </c>
      <c r="F39">
        <f>IF(($F$13*(E39/$E$13)^2)&lt;$F$6,$F$6,($F$13*(E39/$E$13)^2))</f>
        <v>46.875</v>
      </c>
      <c r="G39">
        <f>(E39*F39)/(3960*Home!$F$17/100)</f>
        <v>6.5526920995670999</v>
      </c>
      <c r="H39">
        <f>SUM(E39*$F$37)*500</f>
        <v>1550000</v>
      </c>
      <c r="J39">
        <f>('Pump Savings'!D39*E39)*60</f>
        <v>31948973.787680212</v>
      </c>
      <c r="M39">
        <f>SUM(E39-$E$13)</f>
        <v>77.5</v>
      </c>
      <c r="N39">
        <f>SUM(J39-$J$13)</f>
        <v>6389794.7575360425</v>
      </c>
    </row>
    <row r="40" spans="5:18">
      <c r="E40">
        <f>IF(IF($F$9*12000*'Pump Savings'!B40/(100*500*$F$37)&gt;$E$13*'Pump Savings'!$F$5,$E$13*'Pump Savings'!$F$5,$F$9*12000*'Pump Savings'!B40/(100*500*$F$37))&lt;$N$5,$N$5,IF($F$9*12000*'Pump Savings'!B40/(100*500*$F$37)&gt;$E$13*'Pump Savings'!$F$5,$E$13*'Pump Savings'!$F$5,$F$9*12000*'Pump Savings'!B40/(100*500*$F$37)))</f>
        <v>348.75</v>
      </c>
      <c r="F40">
        <f>IF(($F$13*(E40/$E$13)^2)&lt;$F$6,$F$6,($F$13*(E40/$E$13)^2))</f>
        <v>37.96875</v>
      </c>
      <c r="G40">
        <f>(E40*F40)/(3960*Home!$F$17/100)</f>
        <v>4.7769125405844157</v>
      </c>
      <c r="H40">
        <f>SUM(E40*$F$37)*500</f>
        <v>1395000</v>
      </c>
      <c r="J40">
        <f>('Pump Savings'!D40*E40)*60</f>
        <v>57508152.817824379</v>
      </c>
      <c r="M40">
        <f>SUM(E40-$E$14)</f>
        <v>116.25</v>
      </c>
      <c r="N40">
        <f>SUM(J40-$J$14)</f>
        <v>19169384.272608124</v>
      </c>
      <c r="R40">
        <f>SUMPRODUCT(E39:E42,'Pump Savings'!D39:'Pump Savings'!D42)*60</f>
        <v>108626510.87811272</v>
      </c>
    </row>
    <row r="41" spans="5:18">
      <c r="E41">
        <f>IF(IF($F$9*12000*'Pump Savings'!B41/(100*500*$F$37)&gt;$E$13*'Pump Savings'!$F$5,$E$13*'Pump Savings'!$F$5,$F$9*12000*'Pump Savings'!B41/(100*500*$F$37))&lt;$N$5,$N$5,IF($F$9*12000*'Pump Savings'!B41/(100*500*$F$37)&gt;$E$13*'Pump Savings'!$F$5,$E$13*'Pump Savings'!$F$5,$F$9*12000*'Pump Savings'!B41/(100*500*$F$37)))</f>
        <v>232.5</v>
      </c>
      <c r="F41">
        <f>IF(($F$13*(E41/$E$13)^2)&lt;$F$6,$F$6,($F$13*(E41/$E$13)^2))</f>
        <v>16.875</v>
      </c>
      <c r="G41">
        <f>(E41*F41)/(3960*Home!$F$17/100)</f>
        <v>1.4153814935064934</v>
      </c>
      <c r="H41">
        <f>SUM(E41*$F$37)*500</f>
        <v>930000</v>
      </c>
      <c r="J41">
        <f>('Pump Savings'!D41*E41)*60</f>
        <v>19169384.272608127</v>
      </c>
      <c r="M41">
        <f>SUM(E41-$E$15)</f>
        <v>77.5</v>
      </c>
      <c r="N41">
        <f>SUM(J41-$J$15)</f>
        <v>6389794.7575360425</v>
      </c>
      <c r="R41">
        <f>+R40/(60*Home!$F$37)</f>
        <v>329.375</v>
      </c>
    </row>
    <row r="42" spans="5:18">
      <c r="E42">
        <f>IF(IF($F$9*12000*'Pump Savings'!B42/(100*500*$F$37)&gt;$E$13*'Pump Savings'!$F$5,$E$13*'Pump Savings'!$F$5,$F$9*12000*'Pump Savings'!B42/(100*500*$F$37))&lt;$N$5,$N$5,IF($F$9*12000*'Pump Savings'!B42/(100*500*$F$37)&gt;$E$13*'Pump Savings'!$F$5,$E$13*'Pump Savings'!$F$5,$F$9*12000*'Pump Savings'!B42/(100*500*$F$37)))</f>
        <v>116.25</v>
      </c>
      <c r="F42">
        <f>IF(($F$13*(E42/$E$13)^2)&lt;$F$6,$F$6,($F$13*(E42/$E$13)^2))</f>
        <v>4.21875</v>
      </c>
      <c r="G42">
        <f>(E42*F42)/(3960*Home!$F$17/100)</f>
        <v>0.17692268668831168</v>
      </c>
      <c r="H42">
        <f>SUM(E42*$F$37)*500</f>
        <v>465000</v>
      </c>
      <c r="J42">
        <f>('Pump Savings'!D42*E42)*60</f>
        <v>0</v>
      </c>
      <c r="M42">
        <f>SUM(E42-$E$16)</f>
        <v>38.75</v>
      </c>
      <c r="N42">
        <f>SUM(J42-$J$16)</f>
        <v>0</v>
      </c>
    </row>
    <row r="45" spans="5:18">
      <c r="F45">
        <v>10</v>
      </c>
    </row>
    <row r="47" spans="5:18">
      <c r="E47">
        <f>IF($F$9*'Pump Savings'!B47*0.01*24/(F45)&gt;$E$13*'Pump Savings'!$F$5,$E$13*'Pump Savings'!$F$5,$F$9*'Pump Savings'!B47*0.01*24/(F45))</f>
        <v>372</v>
      </c>
      <c r="F47">
        <f>IF(($F$13*(E47/$E$13)^2)&lt;$F$6,$F$6,($F$13*(E47/$E$13)^2))</f>
        <v>43.199999999999996</v>
      </c>
      <c r="G47">
        <f>(E47*F47)/(3960*Home!$F$17/100)</f>
        <v>5.7974025974025967</v>
      </c>
      <c r="H47">
        <f>SUM(E47*$F$45)*500</f>
        <v>1860000</v>
      </c>
      <c r="J47">
        <f>('Pump Savings'!D47*E47)*60</f>
        <v>30671014.836173005</v>
      </c>
      <c r="M47">
        <f>SUM(E47-$E$13)</f>
        <v>62</v>
      </c>
      <c r="N47">
        <f>SUM(J47-$J$13)</f>
        <v>5111835.8060288355</v>
      </c>
    </row>
    <row r="48" spans="5:18">
      <c r="E48">
        <f>IF(IF($F$9*12000*'Pump Savings'!B48/(100*500*$F$45)&gt;$E$13*'Pump Savings'!$F$5,$E$13*'Pump Savings'!$F$5,$F$9*12000*'Pump Savings'!B48/(100*500*$F$45))&lt;$N$5,$N$5,IF($F$9*12000*'Pump Savings'!B48/(100*500*$F$45)&gt;$E$13*'Pump Savings'!$F$5,$E$13*'Pump Savings'!$F$5,$F$9*12000*'Pump Savings'!B48/(100*500*$F$45)))</f>
        <v>279</v>
      </c>
      <c r="F48">
        <f>IF(($F$13*(E48/$E$13)^2)&lt;$F$6,$F$6,($F$13*(E48/$E$13)^2))</f>
        <v>24.3</v>
      </c>
      <c r="G48">
        <f>(E48*F48)/(3960*Home!$F$17/100)</f>
        <v>2.4457792207792206</v>
      </c>
      <c r="H48">
        <f>SUM(E48*$F$45)*500</f>
        <v>1395000</v>
      </c>
      <c r="J48">
        <f>('Pump Savings'!D48*E48)*60</f>
        <v>46006522.254259504</v>
      </c>
      <c r="M48">
        <f>SUM(E48-$E$14)</f>
        <v>46.5</v>
      </c>
      <c r="N48">
        <f>SUM(J48-$J$14)</f>
        <v>7667753.7090432495</v>
      </c>
      <c r="R48">
        <f>SUMPRODUCT(E47:E50,'Pump Savings'!D47:'Pump Savings'!D50)*60</f>
        <v>92013044.508519009</v>
      </c>
    </row>
    <row r="49" spans="5:18">
      <c r="E49">
        <f>IF(IF($F$9*12000*'Pump Savings'!B49/(100*500*$F$45)&gt;$E$13*'Pump Savings'!$F$5,$E$13*'Pump Savings'!$F$5,$F$9*12000*'Pump Savings'!B49/(100*500*$F$45))&lt;$N$5,$N$5,IF($F$9*12000*'Pump Savings'!B49/(100*500*$F$45)&gt;$E$13*'Pump Savings'!$F$5,$E$13*'Pump Savings'!$F$5,$F$9*12000*'Pump Savings'!B49/(100*500*$F$45)))</f>
        <v>186</v>
      </c>
      <c r="F49">
        <f>IF(($F$13*(E49/$E$13)^2)&lt;$F$6,$F$6,($F$13*(E49/$E$13)^2))</f>
        <v>10.799999999999999</v>
      </c>
      <c r="G49">
        <f>(E49*F49)/(3960*Home!$F$17/100)</f>
        <v>0.72467532467532458</v>
      </c>
      <c r="H49">
        <f>SUM(E49*$F$45)*500</f>
        <v>930000</v>
      </c>
      <c r="J49">
        <f>('Pump Savings'!D49*E49)*60</f>
        <v>15335507.418086503</v>
      </c>
      <c r="M49">
        <f>SUM(E49-$E$15)</f>
        <v>31</v>
      </c>
      <c r="N49">
        <f>SUM(J49-$J$15)</f>
        <v>2555917.9030144177</v>
      </c>
      <c r="R49">
        <f>+R48/(60*Home!$F$37)</f>
        <v>279</v>
      </c>
    </row>
    <row r="50" spans="5:18">
      <c r="E50">
        <f>IF(IF($F$9*12000*'Pump Savings'!B50/(100*500*$F$45)&gt;$E$13*'Pump Savings'!$F$5,$E$13*'Pump Savings'!$F$5,$F$9*12000*'Pump Savings'!B50/(100*500*$F$45))&lt;$N$5,$N$5,IF($F$9*12000*'Pump Savings'!B50/(100*500*$F$45)&gt;$E$13*'Pump Savings'!$F$5,$E$13*'Pump Savings'!$F$5,$F$9*12000*'Pump Savings'!B50/(100*500*$F$45)))</f>
        <v>93</v>
      </c>
      <c r="F50">
        <f>IF(($F$13*(E50/$E$13)^2)&lt;$F$6,$F$6,($F$13*(E50/$E$13)^2))</f>
        <v>2.6999999999999997</v>
      </c>
      <c r="G50">
        <f>(E50*F50)/(3960*Home!$F$17/100)</f>
        <v>9.0584415584415573E-2</v>
      </c>
      <c r="H50">
        <f>SUM(E50*$F$45)*500</f>
        <v>465000</v>
      </c>
      <c r="J50">
        <f>('Pump Savings'!D50*E50)*60</f>
        <v>0</v>
      </c>
      <c r="M50">
        <f>SUM(E50-$E$16)</f>
        <v>15.5</v>
      </c>
      <c r="N50">
        <f>SUM(J50-$J$16)</f>
        <v>0</v>
      </c>
    </row>
    <row r="53" spans="5:18">
      <c r="F53">
        <v>12</v>
      </c>
    </row>
    <row r="55" spans="5:18">
      <c r="E55">
        <f>IF($F$9*'Pump Savings'!B55*0.01*24/(F53)&gt;$E$13*'Pump Savings'!$F$5,$E$13*'Pump Savings'!$F$5,$F$9*'Pump Savings'!B55*0.01*24/(F53))</f>
        <v>310</v>
      </c>
      <c r="F55">
        <f>IF(($F$13*(E55/$E$13)^2)&lt;$F$6,$F$6,($F$13*(E55/$E$13)^2))</f>
        <v>30</v>
      </c>
      <c r="G55">
        <f>(E55*F55)/(3960*Home!$F$17/100)</f>
        <v>3.3549783549783552</v>
      </c>
      <c r="H55">
        <f>SUM(E55*$F$53)*500</f>
        <v>1860000</v>
      </c>
      <c r="J55">
        <f>('Pump Savings'!D55*E55)*60</f>
        <v>25559179.03014417</v>
      </c>
      <c r="M55">
        <f>SUM(E55-$E$13)</f>
        <v>0</v>
      </c>
      <c r="N55">
        <f>SUM(J55-$J$13)</f>
        <v>0</v>
      </c>
    </row>
    <row r="56" spans="5:18">
      <c r="E56">
        <f>IF(IF($F$9*12000*'Pump Savings'!B56/(100*500*$F$53)&gt;$E$13*'Pump Savings'!$F$5,$E$13*'Pump Savings'!$F$5,$F$9*12000*'Pump Savings'!B56/(100*500*$F$53))&lt;$N$5,$N$5,IF($F$9*12000*'Pump Savings'!B56/(100*500*$F$53)&gt;$E$13*'Pump Savings'!$F$5,$E$13*'Pump Savings'!$F$5,$F$9*12000*'Pump Savings'!B56/(100*500*$F$53)))</f>
        <v>232.5</v>
      </c>
      <c r="F56">
        <f>IF(($F$13*(E56/$E$13)^2)&lt;$F$6,$F$6,($F$13*(E56/$E$13)^2))</f>
        <v>16.875</v>
      </c>
      <c r="G56">
        <f>(E56*F56)/(3960*Home!$F$17/100)</f>
        <v>1.4153814935064934</v>
      </c>
      <c r="H56">
        <f>SUM(E56*$F$53)*500</f>
        <v>1395000</v>
      </c>
      <c r="J56">
        <f>('Pump Savings'!D56*E56)*60</f>
        <v>38338768.545216255</v>
      </c>
      <c r="M56">
        <f>SUM(E56-$E$14)</f>
        <v>0</v>
      </c>
      <c r="N56">
        <f>SUM(J56-$J$14)</f>
        <v>0</v>
      </c>
      <c r="R56">
        <f>SUMPRODUCT(E55:E58,'Pump Savings'!D55:'Pump Savings'!D58)*60</f>
        <v>76677537.09043251</v>
      </c>
    </row>
    <row r="57" spans="5:18">
      <c r="E57">
        <f>IF(IF($F$9*12000*'Pump Savings'!B57/(100*500*$F$53)&gt;$E$13*'Pump Savings'!$F$5,$E$13*'Pump Savings'!$F$5,$F$9*12000*'Pump Savings'!B57/(100*500*$F$53))&lt;$N$5,$N$5,IF($F$9*12000*'Pump Savings'!B57/(100*500*$F$53)&gt;$E$13*'Pump Savings'!$F$5,$E$13*'Pump Savings'!$F$5,$F$9*12000*'Pump Savings'!B57/(100*500*$F$53)))</f>
        <v>155</v>
      </c>
      <c r="F57">
        <f>IF(($F$13*(E57/$E$13)^2)&lt;$F$6,$F$6,($F$13*(E57/$E$13)^2))</f>
        <v>7.5</v>
      </c>
      <c r="G57">
        <f>(E57*F57)/(3960*Home!$F$17/100)</f>
        <v>0.4193722943722944</v>
      </c>
      <c r="H57">
        <f>SUM(E57*$F$53)*500</f>
        <v>930000</v>
      </c>
      <c r="J57">
        <f>('Pump Savings'!D57*E57)*60</f>
        <v>12779589.515072085</v>
      </c>
      <c r="M57">
        <f>SUM(E57-$E$15)</f>
        <v>0</v>
      </c>
      <c r="N57">
        <f>SUM(J57-$J$15)</f>
        <v>0</v>
      </c>
      <c r="R57">
        <f>+R56/(60*Home!$F$37)</f>
        <v>232.50000000000003</v>
      </c>
    </row>
    <row r="58" spans="5:18">
      <c r="E58">
        <f>IF(IF($F$9*12000*'Pump Savings'!B58/(100*500*$F$53)&gt;$E$13*'Pump Savings'!$F$5,$E$13*'Pump Savings'!$F$5,$F$9*12000*'Pump Savings'!B58/(100*500*$F$53))&lt;$N$5,$N$5,IF($F$9*12000*'Pump Savings'!B58/(100*500*$F$53)&gt;$E$13*'Pump Savings'!$F$5,$E$13*'Pump Savings'!$F$5,$F$9*12000*'Pump Savings'!B58/(100*500*$F$53)))</f>
        <v>77.5</v>
      </c>
      <c r="F58">
        <f>IF(($F$13*(E58/$E$13)^2)&lt;$F$6,$F$6,($F$13*(E58/$E$13)^2))</f>
        <v>1.875</v>
      </c>
      <c r="G58">
        <f>(E58*F58)/(3960*Home!$F$17/100)</f>
        <v>5.24215367965368E-2</v>
      </c>
      <c r="H58">
        <f>SUM(E58*$F$53)*500</f>
        <v>465000</v>
      </c>
      <c r="J58">
        <f>('Pump Savings'!D58*E58)*60</f>
        <v>0</v>
      </c>
      <c r="M58">
        <f>SUM(E58-$E$16)</f>
        <v>0</v>
      </c>
      <c r="N58">
        <f>SUM(J58-$J$16)</f>
        <v>0</v>
      </c>
    </row>
    <row r="61" spans="5:18">
      <c r="F61">
        <v>14</v>
      </c>
    </row>
    <row r="63" spans="5:18">
      <c r="E63">
        <f>IF($F$9*'Pump Savings'!B63*0.01*24/(F61)&gt;$E$13*'Pump Savings'!$F$5,$E$13*'Pump Savings'!$F$5,$F$9*'Pump Savings'!B63*0.01*24/(F61))</f>
        <v>265.71428571428572</v>
      </c>
      <c r="F63">
        <f>IF(($F$13*(E63/$E$13)^2)&lt;$F$6,$F$6,($F$13*(E63/$E$13)^2))</f>
        <v>22.040816326530617</v>
      </c>
      <c r="G63">
        <f>(E63*F63)/(3960*Home!$F$17/100)</f>
        <v>2.1127560486161072</v>
      </c>
      <c r="H63">
        <f>SUM(E63*$F$61)*500</f>
        <v>1860000</v>
      </c>
      <c r="J63">
        <f>('Pump Savings'!D63*E63)*60</f>
        <v>21907867.740123574</v>
      </c>
      <c r="M63">
        <f>SUM(E63-$E$13)</f>
        <v>-44.285714285714278</v>
      </c>
      <c r="N63">
        <f>SUM(J63-$J$13)</f>
        <v>-3651311.2900205962</v>
      </c>
    </row>
    <row r="64" spans="5:18">
      <c r="E64">
        <f>IF(IF($F$9*12000*'Pump Savings'!B64/(100*500*$F$61)&gt;$E$13*'Pump Savings'!$F$5,$E$13*'Pump Savings'!$F$5,$F$9*12000*'Pump Savings'!B64/(100*500*$F$61))&lt;$N$5,$N$5,IF($F$9*12000*'Pump Savings'!B64/(100*500*$F$61)&gt;$E$13*'Pump Savings'!$F$5,$E$13*'Pump Savings'!$F$5,$F$9*12000*'Pump Savings'!B64/(100*500*$F$61)))</f>
        <v>199.28571428571428</v>
      </c>
      <c r="F64">
        <f>IF(($F$13*(E64/$E$13)^2)&lt;$F$6,$F$6,($F$13*(E64/$E$13)^2))</f>
        <v>12.397959183673466</v>
      </c>
      <c r="G64">
        <f>(E64*F64)/(3960*Home!$F$17/100)</f>
        <v>0.89131895800991978</v>
      </c>
      <c r="H64">
        <f>SUM(E64*$F$61)*500</f>
        <v>1395000</v>
      </c>
      <c r="J64">
        <f>('Pump Savings'!D64*E64)*60</f>
        <v>32861801.610185362</v>
      </c>
      <c r="M64">
        <f>SUM(E64-$E$14)</f>
        <v>-33.214285714285722</v>
      </c>
      <c r="N64">
        <f>SUM(J64-$J$14)</f>
        <v>-5476966.9350308925</v>
      </c>
      <c r="R64">
        <f>SUMPRODUCT(E63:E66,'Pump Savings'!D63:'Pump Savings'!D66)*60</f>
        <v>65723603.220370725</v>
      </c>
    </row>
    <row r="65" spans="5:18">
      <c r="E65">
        <f>IF(IF($F$9*12000*'Pump Savings'!B65/(100*500*$F$61)&gt;$E$13*'Pump Savings'!$F$5,$E$13*'Pump Savings'!$F$5,$F$9*12000*'Pump Savings'!B65/(100*500*$F$61))&lt;$N$5,$N$5,IF($F$9*12000*'Pump Savings'!B65/(100*500*$F$61)&gt;$E$13*'Pump Savings'!$F$5,$E$13*'Pump Savings'!$F$5,$F$9*12000*'Pump Savings'!B65/(100*500*$F$61)))</f>
        <v>132.85714285714286</v>
      </c>
      <c r="F65">
        <f>IF(($F$13*(E65/$E$13)^2)&lt;$F$6,$F$6,($F$13*(E65/$E$13)^2))</f>
        <v>5.5102040816326543</v>
      </c>
      <c r="G65">
        <f>(E65*F65)/(3960*Home!$F$17/100)</f>
        <v>0.2640945060770134</v>
      </c>
      <c r="H65">
        <f>SUM(E65*$F$61)*500</f>
        <v>930000</v>
      </c>
      <c r="J65">
        <f>('Pump Savings'!D65*E65)*60</f>
        <v>10953933.870061787</v>
      </c>
      <c r="M65">
        <f>SUM(E65-$E$15)</f>
        <v>-22.142857142857139</v>
      </c>
      <c r="N65">
        <f>SUM(J65-$J$15)</f>
        <v>-1825655.6450102981</v>
      </c>
      <c r="R65">
        <f>+R64/(60*Home!$F$37)</f>
        <v>199.28571428571431</v>
      </c>
    </row>
    <row r="66" spans="5:18">
      <c r="E66">
        <f>IF(IF($F$9*12000*'Pump Savings'!B66/(100*500*$F$61)&gt;$E$13*'Pump Savings'!$F$5,$E$13*'Pump Savings'!$F$5,$F$9*12000*'Pump Savings'!B66/(100*500*$F$61))&lt;$N$5,$N$5,IF($F$9*12000*'Pump Savings'!B66/(100*500*$F$61)&gt;$E$13*'Pump Savings'!$F$5,$E$13*'Pump Savings'!$F$5,$F$9*12000*'Pump Savings'!B66/(100*500*$F$61)))</f>
        <v>66.428571428571431</v>
      </c>
      <c r="F66">
        <f>IF(($F$13*(E66/$E$13)^2)&lt;$F$6,$F$6,($F$13*(E66/$E$13)^2))</f>
        <v>1.3775510204081636</v>
      </c>
      <c r="G66">
        <f>(E66*F66)/(3960*Home!$F$17/100)</f>
        <v>3.3011813259626675E-2</v>
      </c>
      <c r="H66">
        <f>SUM(E66*$F$61)*500</f>
        <v>465000</v>
      </c>
      <c r="J66">
        <f>('Pump Savings'!D66*E66)*60</f>
        <v>0</v>
      </c>
      <c r="M66">
        <f>SUM(E66-$E$16)</f>
        <v>-11.071428571428569</v>
      </c>
      <c r="N66">
        <f>SUM(J66-$J$16)</f>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315A38-0463-44C7-9EA0-8D2C05E19A2F}">
  <sheetPr codeName="Sheet2">
    <tabColor rgb="FFFF6600"/>
  </sheetPr>
  <dimension ref="A1:X111"/>
  <sheetViews>
    <sheetView showGridLines="0" showRowColHeaders="0" topLeftCell="G1" workbookViewId="0">
      <selection activeCell="S11" sqref="S11"/>
    </sheetView>
  </sheetViews>
  <sheetFormatPr defaultRowHeight="13.2"/>
  <cols>
    <col min="1" max="1" width="3.6640625" customWidth="1"/>
    <col min="5" max="5" width="10.5546875" customWidth="1"/>
    <col min="6" max="6" width="10.6640625" customWidth="1"/>
    <col min="11" max="11" width="5" customWidth="1"/>
    <col min="12" max="12" width="10.44140625" customWidth="1"/>
    <col min="13" max="17" width="9.109375" customWidth="1"/>
    <col min="18" max="18" width="4.88671875" customWidth="1"/>
    <col min="20" max="20" width="6.5546875" customWidth="1"/>
    <col min="24" max="24" width="4.5546875" customWidth="1"/>
  </cols>
  <sheetData>
    <row r="1" spans="1:24">
      <c r="A1" s="164"/>
      <c r="B1" s="164"/>
      <c r="C1" s="164"/>
      <c r="D1" s="164"/>
      <c r="E1" s="164"/>
      <c r="F1" s="164"/>
      <c r="G1" s="164"/>
      <c r="H1" s="164"/>
      <c r="I1" s="164"/>
      <c r="J1" s="164"/>
      <c r="K1" s="164"/>
      <c r="L1" s="164"/>
      <c r="M1" s="164"/>
      <c r="N1" s="164"/>
      <c r="O1" s="164"/>
      <c r="P1" s="164"/>
      <c r="Q1" s="164"/>
      <c r="R1" s="164"/>
      <c r="S1" s="164"/>
      <c r="T1" s="164"/>
      <c r="U1" s="164"/>
      <c r="V1" s="164"/>
      <c r="W1" s="164"/>
      <c r="X1" s="164"/>
    </row>
    <row r="2" spans="1:24" ht="34.5" customHeight="1">
      <c r="A2" s="164"/>
      <c r="B2" s="164"/>
      <c r="C2" s="164"/>
      <c r="D2" s="164"/>
      <c r="E2" s="164"/>
      <c r="F2" s="164"/>
      <c r="G2" s="164"/>
      <c r="H2" s="164"/>
      <c r="I2" s="164"/>
      <c r="J2" s="164"/>
      <c r="K2" s="164"/>
      <c r="L2" s="164"/>
      <c r="M2" s="164"/>
      <c r="N2" s="164"/>
      <c r="O2" s="164"/>
      <c r="P2" s="164"/>
      <c r="Q2" s="164"/>
      <c r="R2" s="164"/>
      <c r="S2" s="164"/>
      <c r="T2" s="164"/>
      <c r="U2" s="164"/>
      <c r="V2" s="164"/>
      <c r="W2" s="164"/>
      <c r="X2" s="164"/>
    </row>
    <row r="3" spans="1:24" ht="54" customHeight="1">
      <c r="A3" s="164"/>
      <c r="B3" s="164"/>
      <c r="C3" s="164"/>
      <c r="D3" s="164"/>
      <c r="E3" s="164"/>
      <c r="F3" s="164"/>
      <c r="G3" s="164"/>
      <c r="H3" s="164"/>
      <c r="I3" s="164"/>
      <c r="J3" s="164"/>
      <c r="K3" s="164"/>
      <c r="L3" s="164"/>
      <c r="M3" s="164"/>
      <c r="N3" s="164"/>
      <c r="O3" s="164"/>
      <c r="P3" s="164"/>
      <c r="Q3" s="164"/>
      <c r="R3" s="164"/>
      <c r="S3" s="164"/>
      <c r="T3" s="164"/>
      <c r="U3" s="164"/>
      <c r="V3" s="164"/>
      <c r="W3" s="164"/>
      <c r="X3" s="164"/>
    </row>
    <row r="4" spans="1:24" ht="14.25" customHeight="1">
      <c r="A4" s="164"/>
      <c r="B4" s="325" t="str">
        <f>Tr("USED_TO_CALC_PROJECTED_FLOW","Used to Calculate Projected Flow")</f>
        <v>Used to Calculate Projected Flow</v>
      </c>
      <c r="C4" s="326"/>
      <c r="D4" s="326"/>
      <c r="E4" s="326"/>
      <c r="F4" s="326"/>
      <c r="G4" s="326"/>
      <c r="H4" s="326"/>
      <c r="I4" s="326"/>
      <c r="J4" s="327"/>
      <c r="K4" s="164"/>
      <c r="L4" s="325" t="str">
        <f>Tr("USED_FOR_CHARTS","Used for Charts")</f>
        <v>Used for Charts</v>
      </c>
      <c r="M4" s="326"/>
      <c r="N4" s="326"/>
      <c r="O4" s="326"/>
      <c r="P4" s="326"/>
      <c r="Q4" s="327"/>
      <c r="R4" s="164"/>
      <c r="S4" s="164"/>
      <c r="T4" s="164"/>
      <c r="U4" s="164"/>
      <c r="V4" s="164"/>
      <c r="W4" s="164"/>
      <c r="X4" s="164"/>
    </row>
    <row r="5" spans="1:24" ht="13.8">
      <c r="A5" s="164"/>
      <c r="B5" s="330" t="str">
        <f>Tr("DDC_CONTROL_SIGNAL","DDC Control signal")</f>
        <v>DDC Control signal</v>
      </c>
      <c r="C5" s="331"/>
      <c r="D5" s="332"/>
      <c r="E5" s="330" t="str">
        <f>Tr("VALVE_POSITION_FLOW_BASED_ON_DDC","Valve Position &amp; Flow based on DDC Voltage")</f>
        <v>Valve Position &amp; Flow based on DDC Voltage</v>
      </c>
      <c r="F5" s="331"/>
      <c r="G5" s="331"/>
      <c r="H5" s="331"/>
      <c r="I5" s="331"/>
      <c r="J5" s="332"/>
      <c r="K5" s="164"/>
      <c r="L5" s="184"/>
      <c r="M5" s="163"/>
      <c r="N5" s="184"/>
      <c r="O5" s="184"/>
      <c r="P5" s="185"/>
      <c r="Q5" s="185"/>
      <c r="R5" s="164"/>
      <c r="S5" s="164"/>
      <c r="T5" s="164"/>
      <c r="U5" s="164"/>
      <c r="V5" s="164"/>
      <c r="W5" s="164"/>
      <c r="X5" s="164"/>
    </row>
    <row r="6" spans="1:24">
      <c r="A6" s="164"/>
      <c r="B6" s="73"/>
      <c r="C6" s="186" t="str">
        <f>Tr("VOLTAGE_WORD","Voltage")</f>
        <v>Voltage</v>
      </c>
      <c r="D6" s="189" t="str">
        <f>Tr("VOLTAGE_WORD","Voltage")</f>
        <v>Voltage</v>
      </c>
      <c r="E6" s="75" t="str">
        <f>Tr("LINEAR_PART","Linear Part")</f>
        <v>Linear Part</v>
      </c>
      <c r="F6" s="187" t="str">
        <f>Tr("EQUAL_PART","Equal Part")</f>
        <v>Equal Part</v>
      </c>
      <c r="G6" s="188" t="str">
        <f>Tr("VMAX_WORD","V'max")</f>
        <v>V'max</v>
      </c>
      <c r="H6" s="77" t="str">
        <f>Tr("VMAX_WORD","V'max")</f>
        <v>V'max</v>
      </c>
      <c r="I6" s="192" t="str">
        <f>Tr("DELTA_T_WORD","ΔT")</f>
        <v>ΔT</v>
      </c>
      <c r="J6" s="78" t="str">
        <f>Tr("BTUH_WORD","btuH")</f>
        <v>btuH</v>
      </c>
      <c r="K6" s="164"/>
      <c r="L6" s="179" t="str">
        <f>Tr("EQUAL_PART","Equal Part")</f>
        <v>Equal Part</v>
      </c>
      <c r="M6" s="180" t="str">
        <f>Tr("VMAX_WORD","V'max")</f>
        <v>V'max</v>
      </c>
      <c r="N6" s="164"/>
      <c r="O6" s="181" t="s">
        <v>56</v>
      </c>
      <c r="P6" s="182" t="str">
        <f>Tr("VMAX_WORD","V'max")</f>
        <v>V'max</v>
      </c>
      <c r="Q6" s="183" t="str">
        <f>Tr("BTUH_WORD","btuH")</f>
        <v>btuH</v>
      </c>
      <c r="R6" s="164"/>
      <c r="S6" s="328" t="str">
        <f>Tr("PROJECTED_FLOW_CALCULATIONS","Projected Flow Calculations")</f>
        <v>Projected Flow Calculations</v>
      </c>
      <c r="T6" s="329"/>
      <c r="U6" s="329"/>
      <c r="V6" s="329"/>
      <c r="W6" s="329"/>
      <c r="X6" s="164"/>
    </row>
    <row r="7" spans="1:24">
      <c r="A7" s="164"/>
      <c r="B7" s="73"/>
      <c r="C7" s="79">
        <v>0.5</v>
      </c>
      <c r="D7" s="190">
        <v>2</v>
      </c>
      <c r="E7" s="75"/>
      <c r="F7" s="76"/>
      <c r="G7" s="81" t="str">
        <f>Tr("LINEAR_WORD","Linear")</f>
        <v>Linear</v>
      </c>
      <c r="H7" s="82" t="str">
        <f>Tr("EQ_PCT_SPACE","EQ %")</f>
        <v>EQ %</v>
      </c>
      <c r="I7" s="192"/>
      <c r="J7" s="83"/>
      <c r="K7" s="164"/>
      <c r="L7" s="73"/>
      <c r="M7" s="84" t="str">
        <f>Tr("EQ_PCT_SPACE","EQ %")</f>
        <v>EQ %</v>
      </c>
      <c r="N7" s="164"/>
      <c r="O7" s="80">
        <v>2</v>
      </c>
      <c r="P7" s="82" t="str">
        <f>Tr("EQ_PCT_NOSPACE","EQ%")</f>
        <v>EQ%</v>
      </c>
      <c r="Q7" s="83"/>
      <c r="R7" s="164"/>
      <c r="S7" s="329"/>
      <c r="T7" s="329"/>
      <c r="U7" s="329"/>
      <c r="V7" s="329"/>
      <c r="W7" s="329"/>
      <c r="X7" s="164"/>
    </row>
    <row r="8" spans="1:24">
      <c r="A8" s="164"/>
      <c r="B8" s="73"/>
      <c r="C8" s="85">
        <v>10</v>
      </c>
      <c r="D8" s="191">
        <v>10</v>
      </c>
      <c r="E8" s="75"/>
      <c r="F8" s="76"/>
      <c r="G8" s="87">
        <f>+Model_Home!$F$11</f>
        <v>310</v>
      </c>
      <c r="H8" s="87">
        <f>Model_Home!$F$11</f>
        <v>310</v>
      </c>
      <c r="I8" s="88">
        <f>Model_Home!$F$18</f>
        <v>12</v>
      </c>
      <c r="J8" s="83"/>
      <c r="K8" s="164"/>
      <c r="L8" s="73"/>
      <c r="M8" s="89">
        <f>H8</f>
        <v>310</v>
      </c>
      <c r="N8" s="164"/>
      <c r="O8" s="86">
        <v>10</v>
      </c>
      <c r="P8" s="87">
        <f>H8</f>
        <v>310</v>
      </c>
      <c r="Q8" s="83"/>
      <c r="R8" s="164"/>
      <c r="S8" s="164"/>
      <c r="T8" s="164"/>
      <c r="U8" s="164"/>
      <c r="V8" s="164"/>
      <c r="W8" s="164"/>
      <c r="X8" s="164"/>
    </row>
    <row r="9" spans="1:24" ht="14.4" thickBot="1">
      <c r="A9" s="164"/>
      <c r="B9" s="73" t="str">
        <f>Tr("IN_PCT","In %")</f>
        <v>In %</v>
      </c>
      <c r="C9" s="73" t="str">
        <f>Tr("IN_V","In V")</f>
        <v>In V</v>
      </c>
      <c r="D9" s="76" t="str">
        <f>Tr("IN_V","In V")</f>
        <v>In V</v>
      </c>
      <c r="E9" s="75" t="str">
        <f>Tr("IN_PCT","In %")</f>
        <v>In %</v>
      </c>
      <c r="F9" s="76" t="str">
        <f>Tr("IN_PCT","In %")</f>
        <v>In %</v>
      </c>
      <c r="G9" s="90" t="str">
        <f>Tr("G_MIN","g/min.")</f>
        <v>g/min.</v>
      </c>
      <c r="H9" s="91" t="str">
        <f>Tr("G_MIN","g/min.")</f>
        <v>g/min.</v>
      </c>
      <c r="I9" s="192" t="s">
        <v>65</v>
      </c>
      <c r="J9" s="78" t="str">
        <f>Tr("BTU_H_SLASH_LOWER","btu/H")</f>
        <v>btu/H</v>
      </c>
      <c r="K9" s="164"/>
      <c r="L9" s="73" t="str">
        <f>Tr("IN_PCT","In %")</f>
        <v>In %</v>
      </c>
      <c r="M9" s="92" t="str">
        <f>Tr("G_MIN","g/min.")</f>
        <v>g/min.</v>
      </c>
      <c r="N9" s="164"/>
      <c r="O9" s="74" t="str">
        <f>Tr("IN_V","In V")</f>
        <v>In V</v>
      </c>
      <c r="P9" s="91" t="str">
        <f>Tr("G_MIN","g/min.")</f>
        <v>g/min.</v>
      </c>
      <c r="Q9" s="78" t="str">
        <f>Tr("BTU_H_SLASH_LOWER","btu/H")</f>
        <v>btu/H</v>
      </c>
      <c r="R9" s="164"/>
      <c r="S9" s="164"/>
      <c r="T9" s="164"/>
      <c r="U9" s="164"/>
      <c r="V9" s="164"/>
      <c r="W9" s="164"/>
      <c r="X9" s="164"/>
    </row>
    <row r="10" spans="1:24" ht="19.2" thickTop="1">
      <c r="A10" s="164"/>
      <c r="B10" s="93">
        <v>0</v>
      </c>
      <c r="C10" s="79">
        <v>0.5</v>
      </c>
      <c r="D10" s="190">
        <v>2</v>
      </c>
      <c r="E10" s="94">
        <v>0</v>
      </c>
      <c r="F10" s="95">
        <v>0.04</v>
      </c>
      <c r="G10" s="96">
        <f>IF(E10&lt;2.5%,0,$G$8*E10)</f>
        <v>0</v>
      </c>
      <c r="H10" s="97">
        <f>IF(F10&lt;5%,0,$H$8*F10)</f>
        <v>0</v>
      </c>
      <c r="I10" s="193"/>
      <c r="J10" s="98">
        <f>SUM(H10*$I$8)*500</f>
        <v>0</v>
      </c>
      <c r="K10" s="164"/>
      <c r="L10" s="99">
        <v>0.04</v>
      </c>
      <c r="M10" s="97">
        <f>H10</f>
        <v>0</v>
      </c>
      <c r="N10" s="164"/>
      <c r="O10" s="80">
        <v>2</v>
      </c>
      <c r="P10" s="100">
        <f>H10</f>
        <v>0</v>
      </c>
      <c r="Q10" s="98">
        <f>SUM(H10*$I$8)*500</f>
        <v>0</v>
      </c>
      <c r="R10" s="164"/>
      <c r="S10" s="171" t="str">
        <f>Tr("EXAMPLE_WORD","Example:")</f>
        <v>Example:</v>
      </c>
      <c r="T10" s="172"/>
      <c r="U10" s="172"/>
      <c r="V10" s="172"/>
      <c r="W10" s="172"/>
      <c r="X10" s="173"/>
    </row>
    <row r="11" spans="1:24" ht="15.6">
      <c r="A11" s="164"/>
      <c r="B11" s="93">
        <v>1</v>
      </c>
      <c r="C11" s="79">
        <v>0.59499999999999997</v>
      </c>
      <c r="D11" s="190">
        <v>2.08</v>
      </c>
      <c r="E11" s="94">
        <v>3.4999999999999996E-3</v>
      </c>
      <c r="F11" s="95">
        <v>4.1308961178316256E-2</v>
      </c>
      <c r="G11" s="96">
        <f>IF(E11&lt;2.5%,0,$G$8*E11)</f>
        <v>0</v>
      </c>
      <c r="H11" s="97">
        <f>IF(F11&lt;5%,0,$H$8*F11)</f>
        <v>0</v>
      </c>
      <c r="I11" s="193"/>
      <c r="J11" s="98">
        <f>SUM(H11*$I$8)*500</f>
        <v>0</v>
      </c>
      <c r="K11" s="164"/>
      <c r="L11" s="99">
        <v>4.1308961178316256E-2</v>
      </c>
      <c r="M11" s="97">
        <f>H11</f>
        <v>0</v>
      </c>
      <c r="N11" s="164"/>
      <c r="O11" s="80">
        <v>2.08</v>
      </c>
      <c r="P11" s="100">
        <f>H11</f>
        <v>0</v>
      </c>
      <c r="Q11" s="98">
        <f>SUM(H11*$I$8)*500</f>
        <v>0</v>
      </c>
      <c r="R11" s="164"/>
      <c r="S11" s="174" t="str">
        <f>Tr("ENERGY_VALVE_VMAX_PREFIX","An Energy Valve with a V'max of ")&amp;TEXT(displayValue(H8,"FLOW"),"0")&amp;" "&amp;UnitText("FLOW")</f>
        <v>An Energy Valve with a V'max of 310 GPM</v>
      </c>
      <c r="T11" s="164"/>
      <c r="U11" s="164"/>
      <c r="V11" s="164"/>
      <c r="W11" s="164"/>
      <c r="X11" s="175"/>
    </row>
    <row r="12" spans="1:24" ht="15.6">
      <c r="A12" s="164"/>
      <c r="B12" s="93">
        <v>2</v>
      </c>
      <c r="C12" s="79">
        <v>0.69</v>
      </c>
      <c r="D12" s="190">
        <v>2.16</v>
      </c>
      <c r="E12" s="94">
        <v>6.9999999999999993E-3</v>
      </c>
      <c r="F12" s="95">
        <v>4.266075684079098E-2</v>
      </c>
      <c r="G12" s="96">
        <f>IF(E12&lt;2.5%,0,$G$8*E12)</f>
        <v>0</v>
      </c>
      <c r="H12" s="97">
        <f>IF(F12&lt;5%,0,$H$8*F12)</f>
        <v>0</v>
      </c>
      <c r="I12" s="193"/>
      <c r="J12" s="98">
        <f>SUM(H12*$I$8)*500</f>
        <v>0</v>
      </c>
      <c r="K12" s="164"/>
      <c r="L12" s="99">
        <v>4.266075684079098E-2</v>
      </c>
      <c r="M12" s="97">
        <f>H12</f>
        <v>0</v>
      </c>
      <c r="N12" s="164"/>
      <c r="O12" s="80">
        <v>2.16</v>
      </c>
      <c r="P12" s="100">
        <f>H12</f>
        <v>0</v>
      </c>
      <c r="Q12" s="98">
        <f>SUM(H12*$I$8)*500</f>
        <v>0</v>
      </c>
      <c r="R12" s="164"/>
      <c r="S12" s="174" t="str">
        <f>Tr("AT_X_VOLTS_PREFIX","At ")&amp;D21&amp;Tr("VOLTS_YOU_WOULD_BE_FLOWING"," volts, you would be flowing ")&amp;TEXT(displayValue(H21,"FLOW"),"0.00")&amp;" "&amp;UnitText("FLOW")</f>
        <v>At 2.88 volts, you would be flowing 17.67 GPM</v>
      </c>
      <c r="T12" s="164"/>
      <c r="U12" s="164"/>
      <c r="V12" s="164"/>
      <c r="W12" s="164"/>
      <c r="X12" s="175"/>
    </row>
    <row r="13" spans="1:24" ht="15.6">
      <c r="A13" s="164"/>
      <c r="B13" s="93">
        <v>3</v>
      </c>
      <c r="C13" s="79">
        <v>0.78499999999999992</v>
      </c>
      <c r="D13" s="190">
        <v>2.2400000000000002</v>
      </c>
      <c r="E13" s="94">
        <v>1.0499999999999999E-2</v>
      </c>
      <c r="F13" s="95">
        <v>4.4056788704345602E-2</v>
      </c>
      <c r="G13" s="96">
        <f>IF(E13&lt;2.5%,0,$G$8*E13)</f>
        <v>0</v>
      </c>
      <c r="H13" s="97">
        <f>IF(F13&lt;5%,0,$H$8*F13)</f>
        <v>0</v>
      </c>
      <c r="I13" s="193"/>
      <c r="J13" s="98">
        <f>SUM(H13*$I$8)*500</f>
        <v>0</v>
      </c>
      <c r="K13" s="164"/>
      <c r="L13" s="99">
        <v>4.4056788704345602E-2</v>
      </c>
      <c r="M13" s="97">
        <f>H13</f>
        <v>0</v>
      </c>
      <c r="N13" s="164"/>
      <c r="O13" s="80">
        <v>2.2400000000000002</v>
      </c>
      <c r="P13" s="100">
        <f>H13</f>
        <v>0</v>
      </c>
      <c r="Q13" s="98">
        <f>SUM(H13*$I$8)*500</f>
        <v>0</v>
      </c>
      <c r="R13" s="164"/>
      <c r="S13" s="174" t="str">
        <f>Tr("AT_X_VOLTS_PREFIX","At ")&amp;TEXT(F21,"0%")&amp;Tr("VALVE_OPENING_SUFFIX"," Valve Opening")</f>
        <v>At 6% Valve Opening</v>
      </c>
      <c r="T13" s="164"/>
      <c r="U13" s="164"/>
      <c r="V13" s="164"/>
      <c r="W13" s="164"/>
      <c r="X13" s="175"/>
    </row>
    <row r="14" spans="1:24" ht="16.2" thickBot="1">
      <c r="A14" s="164"/>
      <c r="B14" s="93">
        <v>4</v>
      </c>
      <c r="C14" s="79">
        <v>0.87999999999999989</v>
      </c>
      <c r="D14" s="190">
        <v>2.3200000000000003</v>
      </c>
      <c r="E14" s="94">
        <v>1.3999999999999999E-2</v>
      </c>
      <c r="F14" s="95">
        <v>4.5498504355727366E-2</v>
      </c>
      <c r="G14" s="96">
        <f t="shared" ref="G14:G45" si="0">IF(E14&lt;2.5%,0,$G$8*E14)</f>
        <v>0</v>
      </c>
      <c r="H14" s="97">
        <f t="shared" ref="H14:H45" si="1">IF(F14&lt;5%,0,$H$8*F14)</f>
        <v>0</v>
      </c>
      <c r="I14" s="193"/>
      <c r="J14" s="98">
        <f t="shared" ref="J14:J45" si="2">SUM(H14*$I$8)*500</f>
        <v>0</v>
      </c>
      <c r="K14" s="164"/>
      <c r="L14" s="99">
        <v>4.5498504355727366E-2</v>
      </c>
      <c r="M14" s="97">
        <f t="shared" ref="M14:M45" si="3">H14</f>
        <v>0</v>
      </c>
      <c r="N14" s="164"/>
      <c r="O14" s="80">
        <v>2.3200000000000003</v>
      </c>
      <c r="P14" s="100">
        <f t="shared" ref="P14:P45" si="4">H14</f>
        <v>0</v>
      </c>
      <c r="Q14" s="98">
        <f t="shared" ref="Q14:Q45" si="5">SUM(H14*$I$8)*500</f>
        <v>0</v>
      </c>
      <c r="R14" s="164"/>
      <c r="S14" s="176" t="str">
        <f>Tr("PRODUCING_PREFIX","Producing ")&amp;TEXT(J21,"###,###")&amp;Tr("BTUS_AT_A_MID"," btu's at a ")&amp;I8&amp;Tr("DELTAT_SUFFIX"," DeltaT")</f>
        <v>Producing 106,023 btu's at a 12 DeltaT</v>
      </c>
      <c r="T14" s="177"/>
      <c r="U14" s="177"/>
      <c r="V14" s="177"/>
      <c r="W14" s="177"/>
      <c r="X14" s="178"/>
    </row>
    <row r="15" spans="1:24" ht="13.8" thickTop="1">
      <c r="A15" s="164"/>
      <c r="B15" s="93">
        <v>5</v>
      </c>
      <c r="C15" s="79">
        <v>0.98</v>
      </c>
      <c r="D15" s="190">
        <v>2.4000000000000004</v>
      </c>
      <c r="E15" s="94">
        <v>1.7499999999999998E-2</v>
      </c>
      <c r="F15" s="95">
        <v>4.6987398752554865E-2</v>
      </c>
      <c r="G15" s="96">
        <f t="shared" si="0"/>
        <v>0</v>
      </c>
      <c r="H15" s="97">
        <f t="shared" si="1"/>
        <v>0</v>
      </c>
      <c r="I15" s="193"/>
      <c r="J15" s="98">
        <f t="shared" si="2"/>
        <v>0</v>
      </c>
      <c r="K15" s="164"/>
      <c r="L15" s="99">
        <v>4.6987398752554865E-2</v>
      </c>
      <c r="M15" s="97">
        <f t="shared" si="3"/>
        <v>0</v>
      </c>
      <c r="N15" s="164"/>
      <c r="O15" s="80">
        <v>2.4000000000000004</v>
      </c>
      <c r="P15" s="100">
        <f t="shared" si="4"/>
        <v>0</v>
      </c>
      <c r="Q15" s="98">
        <f t="shared" si="5"/>
        <v>0</v>
      </c>
      <c r="R15" s="164"/>
      <c r="S15" s="164"/>
      <c r="T15" s="164"/>
      <c r="U15" s="164"/>
      <c r="V15" s="164"/>
      <c r="W15" s="164"/>
      <c r="X15" s="164"/>
    </row>
    <row r="16" spans="1:24">
      <c r="A16" s="164"/>
      <c r="B16" s="93">
        <v>6</v>
      </c>
      <c r="C16" s="79">
        <v>1.0699999999999998</v>
      </c>
      <c r="D16" s="190">
        <v>2.4800000000000004</v>
      </c>
      <c r="E16" s="94">
        <v>2.0999999999999998E-2</v>
      </c>
      <c r="F16" s="95">
        <v>4.8525015773483865E-2</v>
      </c>
      <c r="G16" s="96">
        <f t="shared" si="0"/>
        <v>0</v>
      </c>
      <c r="H16" s="97">
        <f t="shared" si="1"/>
        <v>0</v>
      </c>
      <c r="I16" s="193"/>
      <c r="J16" s="98">
        <f t="shared" si="2"/>
        <v>0</v>
      </c>
      <c r="K16" s="164"/>
      <c r="L16" s="99">
        <v>4.8525015773483865E-2</v>
      </c>
      <c r="M16" s="97">
        <f t="shared" si="3"/>
        <v>0</v>
      </c>
      <c r="N16" s="164"/>
      <c r="O16" s="80">
        <v>2.4800000000000004</v>
      </c>
      <c r="P16" s="100">
        <f t="shared" si="4"/>
        <v>0</v>
      </c>
      <c r="Q16" s="98">
        <f t="shared" si="5"/>
        <v>0</v>
      </c>
      <c r="R16" s="164"/>
      <c r="S16" s="194" t="str">
        <f>Tr("HINT_REFER_TO_THE","Hint: Refer to the ")</f>
        <v xml:space="preserve">Hint: Refer to the </v>
      </c>
      <c r="T16" s="164"/>
      <c r="U16" s="195" t="str">
        <f>Tr("BLUE_WORD","Blue")</f>
        <v>Blue</v>
      </c>
      <c r="V16" s="194" t="str">
        <f>Tr("COLUMNS_WORD","Columns")</f>
        <v>Columns</v>
      </c>
      <c r="W16" s="164"/>
      <c r="X16" s="164"/>
    </row>
    <row r="17" spans="1:24">
      <c r="A17" s="164"/>
      <c r="B17" s="93">
        <v>7</v>
      </c>
      <c r="C17" s="79">
        <v>1.1649999999999998</v>
      </c>
      <c r="D17" s="190">
        <v>2.5600000000000005</v>
      </c>
      <c r="E17" s="94">
        <v>2.4500000000000001E-2</v>
      </c>
      <c r="F17" s="95">
        <v>5.0112949819100722E-2</v>
      </c>
      <c r="G17" s="96">
        <f t="shared" si="0"/>
        <v>0</v>
      </c>
      <c r="H17" s="97">
        <f t="shared" si="1"/>
        <v>15.535014443921224</v>
      </c>
      <c r="I17" s="193"/>
      <c r="J17" s="98">
        <f t="shared" si="2"/>
        <v>93210.086663527341</v>
      </c>
      <c r="K17" s="164"/>
      <c r="L17" s="99">
        <v>5.0112949819100722E-2</v>
      </c>
      <c r="M17" s="97">
        <f t="shared" si="3"/>
        <v>15.535014443921224</v>
      </c>
      <c r="N17" s="164"/>
      <c r="O17" s="80">
        <v>2.5600000000000005</v>
      </c>
      <c r="P17" s="100">
        <f t="shared" si="4"/>
        <v>15.535014443921224</v>
      </c>
      <c r="Q17" s="98">
        <f t="shared" si="5"/>
        <v>93210.086663527341</v>
      </c>
      <c r="R17" s="164"/>
      <c r="S17" s="164"/>
      <c r="T17" s="164"/>
      <c r="U17" s="164"/>
      <c r="V17" s="164"/>
      <c r="W17" s="164"/>
      <c r="X17" s="164"/>
    </row>
    <row r="18" spans="1:24">
      <c r="A18" s="164"/>
      <c r="B18" s="93">
        <v>8</v>
      </c>
      <c r="C18" s="79">
        <v>1.2599999999999998</v>
      </c>
      <c r="D18" s="190">
        <v>2.6400000000000006</v>
      </c>
      <c r="E18" s="94">
        <v>2.7999999999999997E-2</v>
      </c>
      <c r="F18" s="95">
        <v>5.1752847465203498E-2</v>
      </c>
      <c r="G18" s="96">
        <f t="shared" si="0"/>
        <v>8.68</v>
      </c>
      <c r="H18" s="97">
        <f t="shared" si="1"/>
        <v>16.043382714213084</v>
      </c>
      <c r="I18" s="193"/>
      <c r="J18" s="98">
        <f t="shared" si="2"/>
        <v>96260.296285278513</v>
      </c>
      <c r="K18" s="164"/>
      <c r="L18" s="99">
        <v>5.1752847465203498E-2</v>
      </c>
      <c r="M18" s="97">
        <f t="shared" si="3"/>
        <v>16.043382714213084</v>
      </c>
      <c r="N18" s="164"/>
      <c r="O18" s="80">
        <v>2.6400000000000006</v>
      </c>
      <c r="P18" s="100">
        <f t="shared" si="4"/>
        <v>16.043382714213084</v>
      </c>
      <c r="Q18" s="98">
        <f t="shared" si="5"/>
        <v>96260.296285278513</v>
      </c>
      <c r="R18" s="164"/>
      <c r="S18" s="164"/>
      <c r="T18" s="164"/>
      <c r="U18" s="164"/>
      <c r="V18" s="164"/>
      <c r="W18" s="164"/>
      <c r="X18" s="164"/>
    </row>
    <row r="19" spans="1:24">
      <c r="A19" s="164"/>
      <c r="B19" s="93">
        <v>9</v>
      </c>
      <c r="C19" s="79">
        <v>1.3549999999999998</v>
      </c>
      <c r="D19" s="190">
        <v>2.7200000000000006</v>
      </c>
      <c r="E19" s="94">
        <v>3.15E-2</v>
      </c>
      <c r="F19" s="95">
        <v>5.3446409170185401E-2</v>
      </c>
      <c r="G19" s="96">
        <f t="shared" si="0"/>
        <v>9.7650000000000006</v>
      </c>
      <c r="H19" s="97">
        <f t="shared" si="1"/>
        <v>16.568386842757473</v>
      </c>
      <c r="I19" s="193"/>
      <c r="J19" s="98">
        <f t="shared" si="2"/>
        <v>99410.321056544824</v>
      </c>
      <c r="K19" s="164"/>
      <c r="L19" s="99">
        <v>5.3446409170185401E-2</v>
      </c>
      <c r="M19" s="97">
        <f t="shared" si="3"/>
        <v>16.568386842757473</v>
      </c>
      <c r="N19" s="164"/>
      <c r="O19" s="80">
        <v>2.7200000000000006</v>
      </c>
      <c r="P19" s="100">
        <f t="shared" si="4"/>
        <v>16.568386842757473</v>
      </c>
      <c r="Q19" s="98">
        <f t="shared" si="5"/>
        <v>99410.321056544824</v>
      </c>
      <c r="R19" s="164"/>
      <c r="S19" s="164"/>
      <c r="T19" s="164"/>
      <c r="U19" s="164"/>
      <c r="V19" s="164"/>
      <c r="W19" s="164"/>
      <c r="X19" s="164"/>
    </row>
    <row r="20" spans="1:24">
      <c r="A20" s="164"/>
      <c r="B20" s="93">
        <v>10</v>
      </c>
      <c r="C20" s="79">
        <v>1.4499999999999997</v>
      </c>
      <c r="D20" s="190">
        <v>2.8000000000000007</v>
      </c>
      <c r="E20" s="94">
        <v>3.4999999999999996E-2</v>
      </c>
      <c r="F20" s="95">
        <v>5.5195391038289861E-2</v>
      </c>
      <c r="G20" s="96">
        <f t="shared" si="0"/>
        <v>10.85</v>
      </c>
      <c r="H20" s="97">
        <f t="shared" si="1"/>
        <v>17.110571221869858</v>
      </c>
      <c r="I20" s="193"/>
      <c r="J20" s="98">
        <f t="shared" si="2"/>
        <v>102663.42733121914</v>
      </c>
      <c r="K20" s="164"/>
      <c r="L20" s="99">
        <v>5.5195391038289861E-2</v>
      </c>
      <c r="M20" s="97">
        <f t="shared" si="3"/>
        <v>17.110571221869858</v>
      </c>
      <c r="N20" s="164"/>
      <c r="O20" s="80">
        <v>2.8000000000000007</v>
      </c>
      <c r="P20" s="100">
        <f t="shared" si="4"/>
        <v>17.110571221869858</v>
      </c>
      <c r="Q20" s="98">
        <f t="shared" si="5"/>
        <v>102663.42733121914</v>
      </c>
      <c r="R20" s="164"/>
      <c r="S20" s="164"/>
      <c r="T20" s="164"/>
      <c r="U20" s="164"/>
      <c r="V20" s="164"/>
      <c r="W20" s="164"/>
      <c r="X20" s="164"/>
    </row>
    <row r="21" spans="1:24">
      <c r="A21" s="164"/>
      <c r="B21" s="93">
        <v>11</v>
      </c>
      <c r="C21" s="79">
        <v>1.5449999999999997</v>
      </c>
      <c r="D21" s="190">
        <v>2.8800000000000008</v>
      </c>
      <c r="E21" s="94">
        <v>3.85E-2</v>
      </c>
      <c r="F21" s="95">
        <v>5.7001606640567512E-2</v>
      </c>
      <c r="G21" s="96">
        <f t="shared" si="0"/>
        <v>11.935</v>
      </c>
      <c r="H21" s="97">
        <f t="shared" si="1"/>
        <v>17.67049805857593</v>
      </c>
      <c r="I21" s="193"/>
      <c r="J21" s="98">
        <f t="shared" si="2"/>
        <v>106022.98835145558</v>
      </c>
      <c r="K21" s="164"/>
      <c r="L21" s="99">
        <v>5.7001606640567512E-2</v>
      </c>
      <c r="M21" s="97">
        <f t="shared" si="3"/>
        <v>17.67049805857593</v>
      </c>
      <c r="N21" s="164"/>
      <c r="O21" s="80">
        <v>2.8800000000000008</v>
      </c>
      <c r="P21" s="100">
        <f t="shared" si="4"/>
        <v>17.67049805857593</v>
      </c>
      <c r="Q21" s="98">
        <f t="shared" si="5"/>
        <v>106022.98835145558</v>
      </c>
      <c r="R21" s="164"/>
      <c r="S21" s="164"/>
      <c r="T21" s="164"/>
      <c r="U21" s="164"/>
      <c r="V21" s="164"/>
      <c r="W21" s="164"/>
      <c r="X21" s="164"/>
    </row>
    <row r="22" spans="1:24">
      <c r="A22" s="164"/>
      <c r="B22" s="93">
        <v>12</v>
      </c>
      <c r="C22" s="79">
        <v>1.6399999999999997</v>
      </c>
      <c r="D22" s="190">
        <v>2.9600000000000009</v>
      </c>
      <c r="E22" s="94">
        <v>4.1999999999999996E-2</v>
      </c>
      <c r="F22" s="95">
        <v>5.886692889542143E-2</v>
      </c>
      <c r="G22" s="96">
        <f t="shared" si="0"/>
        <v>13.019999999999998</v>
      </c>
      <c r="H22" s="97">
        <f t="shared" si="1"/>
        <v>18.248747957580644</v>
      </c>
      <c r="I22" s="193"/>
      <c r="J22" s="98">
        <f t="shared" si="2"/>
        <v>109492.48774548386</v>
      </c>
      <c r="K22" s="164"/>
      <c r="L22" s="99">
        <v>5.886692889542143E-2</v>
      </c>
      <c r="M22" s="97">
        <f t="shared" si="3"/>
        <v>18.248747957580644</v>
      </c>
      <c r="N22" s="164"/>
      <c r="O22" s="80">
        <v>2.9600000000000009</v>
      </c>
      <c r="P22" s="100">
        <f t="shared" si="4"/>
        <v>18.248747957580644</v>
      </c>
      <c r="Q22" s="98">
        <f t="shared" si="5"/>
        <v>109492.48774548386</v>
      </c>
      <c r="R22" s="164"/>
      <c r="S22" s="164"/>
      <c r="T22" s="164"/>
      <c r="U22" s="164"/>
      <c r="V22" s="164"/>
      <c r="W22" s="164"/>
      <c r="X22" s="164"/>
    </row>
    <row r="23" spans="1:24">
      <c r="A23" s="164"/>
      <c r="B23" s="93">
        <v>13</v>
      </c>
      <c r="C23" s="79">
        <v>1.7349999999999997</v>
      </c>
      <c r="D23" s="190">
        <v>3.0400000000000009</v>
      </c>
      <c r="E23" s="94">
        <v>4.5499999999999999E-2</v>
      </c>
      <c r="F23" s="95">
        <v>6.0793292010691682E-2</v>
      </c>
      <c r="G23" s="96">
        <f t="shared" si="0"/>
        <v>14.105</v>
      </c>
      <c r="H23" s="97">
        <f t="shared" si="1"/>
        <v>18.845920523314422</v>
      </c>
      <c r="I23" s="193"/>
      <c r="J23" s="98">
        <f t="shared" si="2"/>
        <v>113075.52313988654</v>
      </c>
      <c r="K23" s="164"/>
      <c r="L23" s="99">
        <v>6.0793292010691682E-2</v>
      </c>
      <c r="M23" s="97">
        <f t="shared" si="3"/>
        <v>18.845920523314422</v>
      </c>
      <c r="N23" s="164"/>
      <c r="O23" s="80">
        <v>3.0400000000000009</v>
      </c>
      <c r="P23" s="100">
        <f t="shared" si="4"/>
        <v>18.845920523314422</v>
      </c>
      <c r="Q23" s="98">
        <f t="shared" si="5"/>
        <v>113075.52313988654</v>
      </c>
      <c r="R23" s="164"/>
      <c r="S23" s="164"/>
      <c r="T23" s="164"/>
      <c r="U23" s="164"/>
      <c r="V23" s="164"/>
      <c r="W23" s="164"/>
      <c r="X23" s="164"/>
    </row>
    <row r="24" spans="1:24">
      <c r="A24" s="164"/>
      <c r="B24" s="93">
        <v>14</v>
      </c>
      <c r="C24" s="79">
        <v>1.8299999999999996</v>
      </c>
      <c r="D24" s="190">
        <v>3.120000000000001</v>
      </c>
      <c r="E24" s="94">
        <v>4.9000000000000002E-2</v>
      </c>
      <c r="F24" s="95">
        <v>6.2782693489292662E-2</v>
      </c>
      <c r="G24" s="96">
        <f t="shared" si="0"/>
        <v>15.190000000000001</v>
      </c>
      <c r="H24" s="97">
        <f t="shared" si="1"/>
        <v>19.462634981680726</v>
      </c>
      <c r="I24" s="193"/>
      <c r="J24" s="98">
        <f t="shared" si="2"/>
        <v>116775.80989008436</v>
      </c>
      <c r="K24" s="164"/>
      <c r="L24" s="99">
        <v>6.2782693489292662E-2</v>
      </c>
      <c r="M24" s="97">
        <f t="shared" si="3"/>
        <v>19.462634981680726</v>
      </c>
      <c r="N24" s="164"/>
      <c r="O24" s="80">
        <v>3.120000000000001</v>
      </c>
      <c r="P24" s="100">
        <f t="shared" si="4"/>
        <v>19.462634981680726</v>
      </c>
      <c r="Q24" s="98">
        <f t="shared" si="5"/>
        <v>116775.80989008436</v>
      </c>
      <c r="R24" s="164"/>
      <c r="S24" s="164"/>
      <c r="T24" s="164"/>
      <c r="U24" s="164"/>
      <c r="V24" s="164"/>
      <c r="W24" s="164"/>
      <c r="X24" s="164"/>
    </row>
    <row r="25" spans="1:24">
      <c r="A25" s="164"/>
      <c r="B25" s="93">
        <v>15</v>
      </c>
      <c r="C25" s="79">
        <v>1.9249999999999996</v>
      </c>
      <c r="D25" s="190">
        <v>3.2000000000000011</v>
      </c>
      <c r="E25" s="94">
        <v>5.2499999999999998E-2</v>
      </c>
      <c r="F25" s="95">
        <v>6.4837196200482977E-2</v>
      </c>
      <c r="G25" s="96">
        <f t="shared" si="0"/>
        <v>16.274999999999999</v>
      </c>
      <c r="H25" s="97">
        <f t="shared" si="1"/>
        <v>20.099530822149724</v>
      </c>
      <c r="I25" s="193"/>
      <c r="J25" s="98">
        <f t="shared" si="2"/>
        <v>120597.18493289834</v>
      </c>
      <c r="K25" s="164"/>
      <c r="L25" s="99">
        <v>6.4837196200482977E-2</v>
      </c>
      <c r="M25" s="97">
        <f t="shared" si="3"/>
        <v>20.099530822149724</v>
      </c>
      <c r="N25" s="164"/>
      <c r="O25" s="80">
        <v>3.2000000000000011</v>
      </c>
      <c r="P25" s="100">
        <f t="shared" si="4"/>
        <v>20.099530822149724</v>
      </c>
      <c r="Q25" s="98">
        <f t="shared" si="5"/>
        <v>120597.18493289834</v>
      </c>
      <c r="R25" s="164"/>
      <c r="S25" s="164"/>
      <c r="T25" s="164"/>
      <c r="U25" s="164"/>
      <c r="V25" s="164"/>
      <c r="W25" s="164"/>
      <c r="X25" s="164"/>
    </row>
    <row r="26" spans="1:24">
      <c r="A26" s="164"/>
      <c r="B26" s="93">
        <v>16</v>
      </c>
      <c r="C26" s="79">
        <v>2.0199999999999996</v>
      </c>
      <c r="D26" s="190">
        <v>3.2800000000000011</v>
      </c>
      <c r="E26" s="94">
        <v>5.5999999999999994E-2</v>
      </c>
      <c r="F26" s="95">
        <v>6.6958930518915633E-2</v>
      </c>
      <c r="G26" s="96">
        <f t="shared" si="0"/>
        <v>17.36</v>
      </c>
      <c r="H26" s="97">
        <f t="shared" si="1"/>
        <v>20.757268460863845</v>
      </c>
      <c r="I26" s="193"/>
      <c r="J26" s="98">
        <f t="shared" si="2"/>
        <v>124543.61076518308</v>
      </c>
      <c r="K26" s="164"/>
      <c r="L26" s="99">
        <v>6.6958930518915633E-2</v>
      </c>
      <c r="M26" s="97">
        <f t="shared" si="3"/>
        <v>20.757268460863845</v>
      </c>
      <c r="N26" s="164"/>
      <c r="O26" s="80">
        <v>3.2800000000000011</v>
      </c>
      <c r="P26" s="100">
        <f t="shared" si="4"/>
        <v>20.757268460863845</v>
      </c>
      <c r="Q26" s="98">
        <f t="shared" si="5"/>
        <v>124543.61076518308</v>
      </c>
      <c r="R26" s="164"/>
      <c r="S26" s="164"/>
      <c r="T26" s="164"/>
      <c r="U26" s="164"/>
      <c r="V26" s="164"/>
      <c r="W26" s="164"/>
      <c r="X26" s="164"/>
    </row>
    <row r="27" spans="1:24">
      <c r="A27" s="164"/>
      <c r="B27" s="93">
        <v>17</v>
      </c>
      <c r="C27" s="79">
        <v>2.1149999999999998</v>
      </c>
      <c r="D27" s="190">
        <v>3.3600000000000012</v>
      </c>
      <c r="E27" s="94">
        <v>5.9499999999999997E-2</v>
      </c>
      <c r="F27" s="95">
        <v>6.9150096533686534E-2</v>
      </c>
      <c r="G27" s="96">
        <f t="shared" si="0"/>
        <v>18.445</v>
      </c>
      <c r="H27" s="97">
        <f t="shared" si="1"/>
        <v>21.436529925442827</v>
      </c>
      <c r="I27" s="193"/>
      <c r="J27" s="98">
        <f t="shared" si="2"/>
        <v>128619.17955265696</v>
      </c>
      <c r="K27" s="164"/>
      <c r="L27" s="99">
        <v>6.9150096533686534E-2</v>
      </c>
      <c r="M27" s="97">
        <f t="shared" si="3"/>
        <v>21.436529925442827</v>
      </c>
      <c r="N27" s="164"/>
      <c r="O27" s="80">
        <v>3.3600000000000012</v>
      </c>
      <c r="P27" s="100">
        <f t="shared" si="4"/>
        <v>21.436529925442827</v>
      </c>
      <c r="Q27" s="98">
        <f t="shared" si="5"/>
        <v>128619.17955265696</v>
      </c>
      <c r="R27" s="164"/>
      <c r="S27" s="164"/>
      <c r="T27" s="164"/>
      <c r="U27" s="164"/>
      <c r="V27" s="164"/>
      <c r="W27" s="164"/>
      <c r="X27" s="164"/>
    </row>
    <row r="28" spans="1:24">
      <c r="A28" s="164"/>
      <c r="B28" s="93">
        <v>18</v>
      </c>
      <c r="C28" s="79">
        <v>2.21</v>
      </c>
      <c r="D28" s="190">
        <v>3.4400000000000013</v>
      </c>
      <c r="E28" s="94">
        <v>6.3E-2</v>
      </c>
      <c r="F28" s="95">
        <v>7.1412966329671951E-2</v>
      </c>
      <c r="G28" s="96">
        <f t="shared" si="0"/>
        <v>19.53</v>
      </c>
      <c r="H28" s="97">
        <f t="shared" si="1"/>
        <v>22.138019562198306</v>
      </c>
      <c r="I28" s="193"/>
      <c r="J28" s="98">
        <f t="shared" si="2"/>
        <v>132828.11737318983</v>
      </c>
      <c r="K28" s="164"/>
      <c r="L28" s="99">
        <v>7.1412966329671951E-2</v>
      </c>
      <c r="M28" s="97">
        <f t="shared" si="3"/>
        <v>22.138019562198306</v>
      </c>
      <c r="N28" s="164"/>
      <c r="O28" s="80">
        <v>3.4400000000000013</v>
      </c>
      <c r="P28" s="100">
        <f t="shared" si="4"/>
        <v>22.138019562198306</v>
      </c>
      <c r="Q28" s="98">
        <f t="shared" si="5"/>
        <v>132828.11737318983</v>
      </c>
      <c r="R28" s="164"/>
      <c r="S28" s="164"/>
      <c r="T28" s="164"/>
      <c r="U28" s="164"/>
      <c r="V28" s="164"/>
      <c r="W28" s="164"/>
      <c r="X28" s="164"/>
    </row>
    <row r="29" spans="1:24">
      <c r="A29" s="164"/>
      <c r="B29" s="93">
        <v>19</v>
      </c>
      <c r="C29" s="79">
        <v>2.3050000000000002</v>
      </c>
      <c r="D29" s="190">
        <v>3.5200000000000014</v>
      </c>
      <c r="E29" s="94">
        <v>6.649999999999999E-2</v>
      </c>
      <c r="F29" s="95">
        <v>7.3749886343520601E-2</v>
      </c>
      <c r="G29" s="96">
        <f t="shared" si="0"/>
        <v>20.614999999999998</v>
      </c>
      <c r="H29" s="97">
        <f t="shared" si="1"/>
        <v>22.862464766491385</v>
      </c>
      <c r="I29" s="193"/>
      <c r="J29" s="98">
        <f t="shared" si="2"/>
        <v>137174.7885989483</v>
      </c>
      <c r="K29" s="164"/>
      <c r="L29" s="99">
        <v>7.3749886343520601E-2</v>
      </c>
      <c r="M29" s="97">
        <f t="shared" si="3"/>
        <v>22.862464766491385</v>
      </c>
      <c r="N29" s="164"/>
      <c r="O29" s="80">
        <v>3.5200000000000014</v>
      </c>
      <c r="P29" s="100">
        <f t="shared" si="4"/>
        <v>22.862464766491385</v>
      </c>
      <c r="Q29" s="98">
        <f t="shared" si="5"/>
        <v>137174.7885989483</v>
      </c>
      <c r="R29" s="164"/>
      <c r="S29" s="164"/>
      <c r="T29" s="164"/>
      <c r="U29" s="164"/>
      <c r="V29" s="164"/>
      <c r="W29" s="164"/>
      <c r="X29" s="164"/>
    </row>
    <row r="30" spans="1:24">
      <c r="A30" s="164"/>
      <c r="B30" s="93">
        <v>20</v>
      </c>
      <c r="C30" s="79">
        <v>2.4000000000000004</v>
      </c>
      <c r="D30" s="190">
        <v>3.6000000000000014</v>
      </c>
      <c r="E30" s="94">
        <v>6.9999999999999993E-2</v>
      </c>
      <c r="F30" s="95">
        <v>7.6163279796743227E-2</v>
      </c>
      <c r="G30" s="96">
        <f t="shared" si="0"/>
        <v>21.7</v>
      </c>
      <c r="H30" s="97">
        <f t="shared" si="1"/>
        <v>23.610616736990401</v>
      </c>
      <c r="I30" s="193"/>
      <c r="J30" s="98">
        <f t="shared" si="2"/>
        <v>141663.7004219424</v>
      </c>
      <c r="K30" s="164"/>
      <c r="L30" s="99">
        <v>7.6163279796743227E-2</v>
      </c>
      <c r="M30" s="97">
        <f t="shared" si="3"/>
        <v>23.610616736990401</v>
      </c>
      <c r="N30" s="164"/>
      <c r="O30" s="80">
        <v>3.6000000000000014</v>
      </c>
      <c r="P30" s="100">
        <f t="shared" si="4"/>
        <v>23.610616736990401</v>
      </c>
      <c r="Q30" s="98">
        <f t="shared" si="5"/>
        <v>141663.7004219424</v>
      </c>
      <c r="R30" s="164"/>
      <c r="S30" s="164"/>
      <c r="T30" s="164"/>
      <c r="U30" s="164"/>
      <c r="V30" s="164"/>
      <c r="W30" s="164"/>
      <c r="X30" s="164"/>
    </row>
    <row r="31" spans="1:24">
      <c r="A31" s="164"/>
      <c r="B31" s="93">
        <v>21</v>
      </c>
      <c r="C31" s="79">
        <v>2.4950000000000006</v>
      </c>
      <c r="D31" s="190">
        <v>3.6800000000000015</v>
      </c>
      <c r="E31" s="94">
        <v>7.3499999999999996E-2</v>
      </c>
      <c r="F31" s="95">
        <v>7.8655649208422607E-2</v>
      </c>
      <c r="G31" s="96">
        <f t="shared" si="0"/>
        <v>22.785</v>
      </c>
      <c r="H31" s="97">
        <f t="shared" si="1"/>
        <v>24.383251254611007</v>
      </c>
      <c r="I31" s="193"/>
      <c r="J31" s="98">
        <f t="shared" si="2"/>
        <v>146299.50752766605</v>
      </c>
      <c r="K31" s="164"/>
      <c r="L31" s="99">
        <v>7.8655649208422607E-2</v>
      </c>
      <c r="M31" s="97">
        <f t="shared" si="3"/>
        <v>24.383251254611007</v>
      </c>
      <c r="N31" s="164"/>
      <c r="O31" s="80">
        <v>3.6800000000000015</v>
      </c>
      <c r="P31" s="100">
        <f t="shared" si="4"/>
        <v>24.383251254611007</v>
      </c>
      <c r="Q31" s="98">
        <f t="shared" si="5"/>
        <v>146299.50752766605</v>
      </c>
      <c r="R31" s="164"/>
      <c r="S31" s="164"/>
      <c r="T31" s="164"/>
      <c r="U31" s="164"/>
      <c r="V31" s="164"/>
      <c r="W31" s="164"/>
      <c r="X31" s="164"/>
    </row>
    <row r="32" spans="1:24">
      <c r="A32" s="164"/>
      <c r="B32" s="93">
        <v>22</v>
      </c>
      <c r="C32" s="79">
        <v>2.5900000000000007</v>
      </c>
      <c r="D32" s="190">
        <v>3.7600000000000016</v>
      </c>
      <c r="E32" s="94">
        <v>7.6999999999999999E-2</v>
      </c>
      <c r="F32" s="95">
        <v>8.1229578990149764E-2</v>
      </c>
      <c r="G32" s="96">
        <f t="shared" si="0"/>
        <v>23.87</v>
      </c>
      <c r="H32" s="97">
        <f t="shared" si="1"/>
        <v>25.181169486946427</v>
      </c>
      <c r="I32" s="193"/>
      <c r="J32" s="98">
        <f t="shared" si="2"/>
        <v>151087.01692167856</v>
      </c>
      <c r="K32" s="164"/>
      <c r="L32" s="99">
        <v>8.1229578990149764E-2</v>
      </c>
      <c r="M32" s="97">
        <f t="shared" si="3"/>
        <v>25.181169486946427</v>
      </c>
      <c r="N32" s="164"/>
      <c r="O32" s="80">
        <v>3.7600000000000016</v>
      </c>
      <c r="P32" s="100">
        <f t="shared" si="4"/>
        <v>25.181169486946427</v>
      </c>
      <c r="Q32" s="98">
        <f t="shared" si="5"/>
        <v>151087.01692167856</v>
      </c>
      <c r="R32" s="164"/>
      <c r="S32" s="164"/>
      <c r="T32" s="164"/>
      <c r="U32" s="164"/>
      <c r="V32" s="164"/>
      <c r="W32" s="164"/>
      <c r="X32" s="164"/>
    </row>
    <row r="33" spans="1:24">
      <c r="A33" s="164"/>
      <c r="B33" s="93">
        <v>23</v>
      </c>
      <c r="C33" s="79">
        <v>2.6850000000000009</v>
      </c>
      <c r="D33" s="190">
        <v>3.8400000000000016</v>
      </c>
      <c r="E33" s="94">
        <v>8.0500000000000002E-2</v>
      </c>
      <c r="F33" s="95">
        <v>8.3887738125876757E-2</v>
      </c>
      <c r="G33" s="96">
        <f t="shared" si="0"/>
        <v>24.955000000000002</v>
      </c>
      <c r="H33" s="97">
        <f t="shared" si="1"/>
        <v>26.005198819021796</v>
      </c>
      <c r="I33" s="193"/>
      <c r="J33" s="98">
        <f t="shared" si="2"/>
        <v>156031.19291413078</v>
      </c>
      <c r="K33" s="164"/>
      <c r="L33" s="99">
        <v>8.3887738125876757E-2</v>
      </c>
      <c r="M33" s="97">
        <f t="shared" si="3"/>
        <v>26.005198819021796</v>
      </c>
      <c r="N33" s="164"/>
      <c r="O33" s="80">
        <v>3.8400000000000016</v>
      </c>
      <c r="P33" s="100">
        <f t="shared" si="4"/>
        <v>26.005198819021796</v>
      </c>
      <c r="Q33" s="98">
        <f t="shared" si="5"/>
        <v>156031.19291413078</v>
      </c>
      <c r="R33" s="164"/>
      <c r="S33" s="164"/>
      <c r="T33" s="164"/>
      <c r="U33" s="164"/>
      <c r="V33" s="164"/>
      <c r="W33" s="164"/>
      <c r="X33" s="164"/>
    </row>
    <row r="34" spans="1:24">
      <c r="A34" s="164"/>
      <c r="B34" s="93">
        <v>24</v>
      </c>
      <c r="C34" s="79">
        <v>2.7800000000000011</v>
      </c>
      <c r="D34" s="190">
        <v>3.9200000000000017</v>
      </c>
      <c r="E34" s="94">
        <v>8.3999999999999991E-2</v>
      </c>
      <c r="F34" s="95">
        <v>8.6632882939465083E-2</v>
      </c>
      <c r="G34" s="96">
        <f t="shared" si="0"/>
        <v>26.039999999999996</v>
      </c>
      <c r="H34" s="97">
        <f t="shared" si="1"/>
        <v>26.856193711234177</v>
      </c>
      <c r="I34" s="193"/>
      <c r="J34" s="98">
        <f t="shared" si="2"/>
        <v>161137.16226740507</v>
      </c>
      <c r="K34" s="164"/>
      <c r="L34" s="99">
        <v>8.6632882939465083E-2</v>
      </c>
      <c r="M34" s="97">
        <f t="shared" si="3"/>
        <v>26.856193711234177</v>
      </c>
      <c r="N34" s="164"/>
      <c r="O34" s="80">
        <v>3.9200000000000017</v>
      </c>
      <c r="P34" s="100">
        <f t="shared" si="4"/>
        <v>26.856193711234177</v>
      </c>
      <c r="Q34" s="98">
        <f t="shared" si="5"/>
        <v>161137.16226740507</v>
      </c>
      <c r="R34" s="164"/>
      <c r="S34" s="164"/>
      <c r="T34" s="164"/>
      <c r="U34" s="164"/>
      <c r="V34" s="164"/>
      <c r="W34" s="164"/>
      <c r="X34" s="164"/>
    </row>
    <row r="35" spans="1:24">
      <c r="A35" s="164"/>
      <c r="B35" s="93">
        <v>25</v>
      </c>
      <c r="C35" s="79">
        <v>2.8750000000000013</v>
      </c>
      <c r="D35" s="190">
        <v>4.0000000000000018</v>
      </c>
      <c r="E35" s="94">
        <v>8.7499999999999994E-2</v>
      </c>
      <c r="F35" s="95">
        <v>8.9467859952799475E-2</v>
      </c>
      <c r="G35" s="96">
        <f t="shared" si="0"/>
        <v>27.125</v>
      </c>
      <c r="H35" s="97">
        <f t="shared" si="1"/>
        <v>27.735036585367837</v>
      </c>
      <c r="I35" s="193"/>
      <c r="J35" s="98">
        <f t="shared" si="2"/>
        <v>166410.21951220703</v>
      </c>
      <c r="K35" s="164"/>
      <c r="L35" s="99">
        <v>8.9467859952799475E-2</v>
      </c>
      <c r="M35" s="97">
        <f t="shared" si="3"/>
        <v>27.735036585367837</v>
      </c>
      <c r="N35" s="164"/>
      <c r="O35" s="80">
        <v>4.0000000000000018</v>
      </c>
      <c r="P35" s="100">
        <f t="shared" si="4"/>
        <v>27.735036585367837</v>
      </c>
      <c r="Q35" s="98">
        <f t="shared" si="5"/>
        <v>166410.21951220703</v>
      </c>
      <c r="R35" s="164"/>
      <c r="S35" s="164"/>
      <c r="T35" s="164"/>
      <c r="U35" s="164"/>
      <c r="V35" s="164"/>
      <c r="W35" s="164"/>
      <c r="X35" s="164"/>
    </row>
    <row r="36" spans="1:24">
      <c r="A36" s="164"/>
      <c r="B36" s="93">
        <v>26</v>
      </c>
      <c r="C36" s="79">
        <v>2.9700000000000015</v>
      </c>
      <c r="D36" s="190">
        <v>4.0800000000000018</v>
      </c>
      <c r="E36" s="94">
        <v>9.0999999999999998E-2</v>
      </c>
      <c r="F36" s="95">
        <v>9.2395608837430726E-2</v>
      </c>
      <c r="G36" s="96">
        <f t="shared" si="0"/>
        <v>28.21</v>
      </c>
      <c r="H36" s="97">
        <f t="shared" si="1"/>
        <v>28.642638739603527</v>
      </c>
      <c r="I36" s="193"/>
      <c r="J36" s="98">
        <f t="shared" si="2"/>
        <v>171855.83243762117</v>
      </c>
      <c r="K36" s="164"/>
      <c r="L36" s="99">
        <v>9.2395608837430726E-2</v>
      </c>
      <c r="M36" s="97">
        <f t="shared" si="3"/>
        <v>28.642638739603527</v>
      </c>
      <c r="N36" s="164"/>
      <c r="O36" s="80">
        <v>4.0800000000000018</v>
      </c>
      <c r="P36" s="100">
        <f t="shared" si="4"/>
        <v>28.642638739603527</v>
      </c>
      <c r="Q36" s="98">
        <f t="shared" si="5"/>
        <v>171855.83243762117</v>
      </c>
      <c r="R36" s="164"/>
      <c r="S36" s="164"/>
      <c r="T36" s="164"/>
      <c r="U36" s="164"/>
      <c r="V36" s="164"/>
      <c r="W36" s="164"/>
      <c r="X36" s="164"/>
    </row>
    <row r="37" spans="1:24">
      <c r="A37" s="164"/>
      <c r="B37" s="93">
        <v>27</v>
      </c>
      <c r="C37" s="79">
        <v>3.0650000000000017</v>
      </c>
      <c r="D37" s="190">
        <v>4.1600000000000019</v>
      </c>
      <c r="E37" s="94">
        <v>9.4500000000000001E-2</v>
      </c>
      <c r="F37" s="95">
        <v>9.5419165462808014E-2</v>
      </c>
      <c r="G37" s="96">
        <f t="shared" si="0"/>
        <v>29.295000000000002</v>
      </c>
      <c r="H37" s="97">
        <f t="shared" si="1"/>
        <v>29.579941293470483</v>
      </c>
      <c r="I37" s="193"/>
      <c r="J37" s="98">
        <f t="shared" si="2"/>
        <v>177479.6477608229</v>
      </c>
      <c r="K37" s="164"/>
      <c r="L37" s="99">
        <v>9.5419165462808014E-2</v>
      </c>
      <c r="M37" s="97">
        <f t="shared" si="3"/>
        <v>29.579941293470483</v>
      </c>
      <c r="N37" s="164"/>
      <c r="O37" s="80">
        <v>4.1600000000000019</v>
      </c>
      <c r="P37" s="100">
        <f t="shared" si="4"/>
        <v>29.579941293470483</v>
      </c>
      <c r="Q37" s="98">
        <f t="shared" si="5"/>
        <v>177479.6477608229</v>
      </c>
      <c r="R37" s="164"/>
      <c r="S37" s="164"/>
      <c r="T37" s="164"/>
      <c r="U37" s="164"/>
      <c r="V37" s="164"/>
      <c r="W37" s="164"/>
      <c r="X37" s="164"/>
    </row>
    <row r="38" spans="1:24">
      <c r="A38" s="164"/>
      <c r="B38" s="93">
        <v>28</v>
      </c>
      <c r="C38" s="79">
        <v>3.1600000000000019</v>
      </c>
      <c r="D38" s="190">
        <v>4.240000000000002</v>
      </c>
      <c r="E38" s="94">
        <v>9.8000000000000004E-2</v>
      </c>
      <c r="F38" s="95">
        <v>9.8541665044261789E-2</v>
      </c>
      <c r="G38" s="96">
        <f t="shared" si="0"/>
        <v>30.380000000000003</v>
      </c>
      <c r="H38" s="97">
        <f t="shared" si="1"/>
        <v>30.547916163721155</v>
      </c>
      <c r="I38" s="193"/>
      <c r="J38" s="98">
        <f t="shared" si="2"/>
        <v>183287.49698232693</v>
      </c>
      <c r="K38" s="164"/>
      <c r="L38" s="99">
        <v>9.8541665044261789E-2</v>
      </c>
      <c r="M38" s="97">
        <f t="shared" si="3"/>
        <v>30.547916163721155</v>
      </c>
      <c r="N38" s="164"/>
      <c r="O38" s="80">
        <v>4.240000000000002</v>
      </c>
      <c r="P38" s="100">
        <f t="shared" si="4"/>
        <v>30.547916163721155</v>
      </c>
      <c r="Q38" s="98">
        <f t="shared" si="5"/>
        <v>183287.49698232693</v>
      </c>
      <c r="R38" s="164"/>
      <c r="S38" s="164"/>
      <c r="T38" s="164"/>
      <c r="U38" s="164"/>
      <c r="V38" s="164"/>
      <c r="W38" s="164"/>
      <c r="X38" s="164"/>
    </row>
    <row r="39" spans="1:24">
      <c r="A39" s="164"/>
      <c r="B39" s="73">
        <v>29</v>
      </c>
      <c r="C39" s="79">
        <v>3.2550000000000021</v>
      </c>
      <c r="D39" s="190">
        <v>4.3200000000000021</v>
      </c>
      <c r="E39" s="94">
        <v>0.10149999999999999</v>
      </c>
      <c r="F39" s="95">
        <v>0.10176634539400131</v>
      </c>
      <c r="G39" s="96">
        <f t="shared" si="0"/>
        <v>31.464999999999996</v>
      </c>
      <c r="H39" s="97">
        <f t="shared" si="1"/>
        <v>31.547567072140406</v>
      </c>
      <c r="I39" s="193"/>
      <c r="J39" s="98">
        <f t="shared" si="2"/>
        <v>189285.40243284244</v>
      </c>
      <c r="K39" s="164"/>
      <c r="L39" s="99">
        <v>0.10176634539400131</v>
      </c>
      <c r="M39" s="97">
        <f t="shared" si="3"/>
        <v>31.547567072140406</v>
      </c>
      <c r="N39" s="164"/>
      <c r="O39" s="80">
        <v>4.3200000000000021</v>
      </c>
      <c r="P39" s="100">
        <f t="shared" si="4"/>
        <v>31.547567072140406</v>
      </c>
      <c r="Q39" s="98">
        <f t="shared" si="5"/>
        <v>189285.40243284244</v>
      </c>
      <c r="R39" s="164"/>
      <c r="S39" s="164"/>
      <c r="T39" s="164"/>
      <c r="U39" s="164"/>
      <c r="V39" s="164"/>
      <c r="W39" s="164"/>
      <c r="X39" s="164"/>
    </row>
    <row r="40" spans="1:24">
      <c r="A40" s="164"/>
      <c r="B40" s="93">
        <v>30</v>
      </c>
      <c r="C40" s="79">
        <v>3.3500000000000023</v>
      </c>
      <c r="D40" s="190">
        <v>4.4000000000000021</v>
      </c>
      <c r="E40" s="94">
        <v>0.105</v>
      </c>
      <c r="F40" s="95">
        <v>0.10509655027849808</v>
      </c>
      <c r="G40" s="96">
        <f t="shared" si="0"/>
        <v>32.549999999999997</v>
      </c>
      <c r="H40" s="97">
        <f t="shared" si="1"/>
        <v>32.579930586334406</v>
      </c>
      <c r="I40" s="193"/>
      <c r="J40" s="98">
        <f t="shared" si="2"/>
        <v>195479.58351800646</v>
      </c>
      <c r="K40" s="164"/>
      <c r="L40" s="99">
        <v>0.10509655027849808</v>
      </c>
      <c r="M40" s="97">
        <f t="shared" si="3"/>
        <v>32.579930586334406</v>
      </c>
      <c r="N40" s="164"/>
      <c r="O40" s="80">
        <v>4.4000000000000021</v>
      </c>
      <c r="P40" s="100">
        <f t="shared" si="4"/>
        <v>32.579930586334406</v>
      </c>
      <c r="Q40" s="98">
        <f t="shared" si="5"/>
        <v>195479.58351800646</v>
      </c>
      <c r="R40" s="164"/>
      <c r="S40" s="164"/>
      <c r="T40" s="164"/>
      <c r="U40" s="164"/>
      <c r="V40" s="164"/>
      <c r="W40" s="164"/>
      <c r="X40" s="164"/>
    </row>
    <row r="41" spans="1:24">
      <c r="A41" s="164"/>
      <c r="B41" s="93">
        <v>31</v>
      </c>
      <c r="C41" s="79">
        <v>3.4450000000000025</v>
      </c>
      <c r="D41" s="190">
        <v>4.4800000000000022</v>
      </c>
      <c r="E41" s="94">
        <v>0.1085</v>
      </c>
      <c r="F41" s="95">
        <v>0.10853573288573599</v>
      </c>
      <c r="G41" s="96">
        <f t="shared" si="0"/>
        <v>33.634999999999998</v>
      </c>
      <c r="H41" s="97">
        <f t="shared" si="1"/>
        <v>33.646077194578162</v>
      </c>
      <c r="I41" s="193"/>
      <c r="J41" s="98">
        <f t="shared" si="2"/>
        <v>201876.46316746896</v>
      </c>
      <c r="K41" s="164"/>
      <c r="L41" s="99">
        <v>0.10853573288573599</v>
      </c>
      <c r="M41" s="97">
        <f t="shared" si="3"/>
        <v>33.646077194578162</v>
      </c>
      <c r="N41" s="164"/>
      <c r="O41" s="80">
        <v>4.4800000000000022</v>
      </c>
      <c r="P41" s="100">
        <f t="shared" si="4"/>
        <v>33.646077194578162</v>
      </c>
      <c r="Q41" s="98">
        <f t="shared" si="5"/>
        <v>201876.46316746896</v>
      </c>
      <c r="R41" s="164"/>
      <c r="S41" s="164"/>
      <c r="T41" s="164"/>
      <c r="U41" s="164"/>
      <c r="V41" s="164"/>
      <c r="W41" s="164"/>
      <c r="X41" s="164"/>
    </row>
    <row r="42" spans="1:24">
      <c r="A42" s="164"/>
      <c r="B42" s="93">
        <v>32</v>
      </c>
      <c r="C42" s="79">
        <v>3.5400000000000027</v>
      </c>
      <c r="D42" s="190">
        <v>4.5600000000000023</v>
      </c>
      <c r="E42" s="94">
        <v>0.11199999999999999</v>
      </c>
      <c r="F42" s="95">
        <v>0.11208745940592425</v>
      </c>
      <c r="G42" s="96">
        <f t="shared" si="0"/>
        <v>34.72</v>
      </c>
      <c r="H42" s="97">
        <f t="shared" si="1"/>
        <v>34.747112415836519</v>
      </c>
      <c r="I42" s="193"/>
      <c r="J42" s="98">
        <f t="shared" si="2"/>
        <v>208482.67449501914</v>
      </c>
      <c r="K42" s="164"/>
      <c r="L42" s="99">
        <v>0.11208745940592425</v>
      </c>
      <c r="M42" s="97">
        <f t="shared" si="3"/>
        <v>34.747112415836519</v>
      </c>
      <c r="N42" s="164"/>
      <c r="O42" s="80">
        <v>4.5600000000000023</v>
      </c>
      <c r="P42" s="100">
        <f t="shared" si="4"/>
        <v>34.747112415836519</v>
      </c>
      <c r="Q42" s="98">
        <f t="shared" si="5"/>
        <v>208482.67449501914</v>
      </c>
      <c r="R42" s="164"/>
      <c r="S42" s="164"/>
      <c r="T42" s="164"/>
      <c r="U42" s="164"/>
      <c r="V42" s="164"/>
      <c r="W42" s="164"/>
      <c r="X42" s="164"/>
    </row>
    <row r="43" spans="1:24">
      <c r="A43" s="164"/>
      <c r="B43" s="93">
        <v>33</v>
      </c>
      <c r="C43" s="79">
        <v>3.6350000000000029</v>
      </c>
      <c r="D43" s="190">
        <v>4.6400000000000023</v>
      </c>
      <c r="E43" s="94">
        <v>0.11549999999999999</v>
      </c>
      <c r="F43" s="95">
        <v>0.11575541272938564</v>
      </c>
      <c r="G43" s="96">
        <f t="shared" si="0"/>
        <v>35.805</v>
      </c>
      <c r="H43" s="97">
        <f t="shared" si="1"/>
        <v>35.884177946109546</v>
      </c>
      <c r="I43" s="193"/>
      <c r="J43" s="98">
        <f t="shared" si="2"/>
        <v>215305.06767665729</v>
      </c>
      <c r="K43" s="164"/>
      <c r="L43" s="99">
        <v>0.11575541272938564</v>
      </c>
      <c r="M43" s="97">
        <f t="shared" si="3"/>
        <v>35.884177946109546</v>
      </c>
      <c r="N43" s="164"/>
      <c r="O43" s="80">
        <v>4.6400000000000023</v>
      </c>
      <c r="P43" s="100">
        <f t="shared" si="4"/>
        <v>35.884177946109546</v>
      </c>
      <c r="Q43" s="98">
        <f t="shared" si="5"/>
        <v>215305.06767665729</v>
      </c>
      <c r="R43" s="164"/>
      <c r="S43" s="164"/>
      <c r="T43" s="164"/>
      <c r="U43" s="164"/>
      <c r="V43" s="164"/>
      <c r="W43" s="164"/>
      <c r="X43" s="164"/>
    </row>
    <row r="44" spans="1:24">
      <c r="A44" s="164"/>
      <c r="B44" s="93">
        <v>34</v>
      </c>
      <c r="C44" s="79">
        <v>3.7300000000000031</v>
      </c>
      <c r="D44" s="190">
        <v>4.7200000000000024</v>
      </c>
      <c r="E44" s="94">
        <v>0.11899999999999999</v>
      </c>
      <c r="F44" s="95">
        <v>0.11954339626545415</v>
      </c>
      <c r="G44" s="96">
        <f t="shared" si="0"/>
        <v>36.89</v>
      </c>
      <c r="H44" s="97">
        <f t="shared" si="1"/>
        <v>37.058452842290791</v>
      </c>
      <c r="I44" s="193"/>
      <c r="J44" s="98">
        <f t="shared" si="2"/>
        <v>222350.71705374474</v>
      </c>
      <c r="K44" s="164"/>
      <c r="L44" s="99">
        <v>0.11954339626545415</v>
      </c>
      <c r="M44" s="97">
        <f t="shared" si="3"/>
        <v>37.058452842290791</v>
      </c>
      <c r="N44" s="164"/>
      <c r="O44" s="80">
        <v>4.7200000000000024</v>
      </c>
      <c r="P44" s="100">
        <f t="shared" si="4"/>
        <v>37.058452842290791</v>
      </c>
      <c r="Q44" s="98">
        <f t="shared" si="5"/>
        <v>222350.71705374474</v>
      </c>
      <c r="R44" s="164"/>
      <c r="S44" s="164"/>
      <c r="T44" s="164"/>
      <c r="U44" s="164"/>
      <c r="V44" s="164"/>
      <c r="W44" s="164"/>
      <c r="X44" s="164"/>
    </row>
    <row r="45" spans="1:24">
      <c r="A45" s="164"/>
      <c r="B45" s="93">
        <v>35</v>
      </c>
      <c r="C45" s="79">
        <v>3.8250000000000033</v>
      </c>
      <c r="D45" s="190">
        <v>4.8000000000000025</v>
      </c>
      <c r="E45" s="94">
        <v>0.12249999999999998</v>
      </c>
      <c r="F45" s="95">
        <v>0.12345533788634301</v>
      </c>
      <c r="G45" s="96">
        <f t="shared" si="0"/>
        <v>37.974999999999994</v>
      </c>
      <c r="H45" s="97">
        <f t="shared" si="1"/>
        <v>38.271154744766335</v>
      </c>
      <c r="I45" s="193"/>
      <c r="J45" s="98">
        <f t="shared" si="2"/>
        <v>229626.92846859802</v>
      </c>
      <c r="K45" s="164"/>
      <c r="L45" s="99">
        <v>0.12345533788634301</v>
      </c>
      <c r="M45" s="97">
        <f t="shared" si="3"/>
        <v>38.271154744766335</v>
      </c>
      <c r="N45" s="164"/>
      <c r="O45" s="80">
        <v>4.8000000000000025</v>
      </c>
      <c r="P45" s="100">
        <f t="shared" si="4"/>
        <v>38.271154744766335</v>
      </c>
      <c r="Q45" s="98">
        <f t="shared" si="5"/>
        <v>229626.92846859802</v>
      </c>
      <c r="R45" s="164"/>
      <c r="S45" s="164"/>
      <c r="T45" s="164"/>
      <c r="U45" s="164"/>
      <c r="V45" s="164"/>
      <c r="W45" s="164"/>
      <c r="X45" s="164"/>
    </row>
    <row r="46" spans="1:24">
      <c r="A46" s="164"/>
      <c r="B46" s="93">
        <v>36</v>
      </c>
      <c r="C46" s="79">
        <v>3.9200000000000035</v>
      </c>
      <c r="D46" s="190">
        <v>4.8800000000000026</v>
      </c>
      <c r="E46" s="94">
        <v>0.126</v>
      </c>
      <c r="F46" s="95">
        <v>0.12749529400007148</v>
      </c>
      <c r="G46" s="96">
        <f t="shared" ref="G46:G77" si="6">IF(E46&lt;2.5%,0,$G$8*E46)</f>
        <v>39.06</v>
      </c>
      <c r="H46" s="97">
        <f t="shared" ref="H46:H77" si="7">IF(F46&lt;5%,0,$H$8*F46)</f>
        <v>39.523541140022161</v>
      </c>
      <c r="I46" s="193"/>
      <c r="J46" s="98">
        <f t="shared" ref="J46:J77" si="8">SUM(H46*$I$8)*500</f>
        <v>237141.24684013295</v>
      </c>
      <c r="K46" s="164"/>
      <c r="L46" s="99">
        <v>0.12749529400007148</v>
      </c>
      <c r="M46" s="97">
        <f t="shared" ref="M46:M77" si="9">H46</f>
        <v>39.523541140022161</v>
      </c>
      <c r="N46" s="164"/>
      <c r="O46" s="80">
        <v>4.8800000000000026</v>
      </c>
      <c r="P46" s="100">
        <f t="shared" ref="P46:P77" si="10">H46</f>
        <v>39.523541140022161</v>
      </c>
      <c r="Q46" s="98">
        <f t="shared" ref="Q46:Q77" si="11">SUM(H46*$I$8)*500</f>
        <v>237141.24684013295</v>
      </c>
      <c r="R46" s="164"/>
      <c r="S46" s="164"/>
      <c r="T46" s="164"/>
      <c r="U46" s="164"/>
      <c r="V46" s="164"/>
      <c r="W46" s="164"/>
      <c r="X46" s="164"/>
    </row>
    <row r="47" spans="1:24">
      <c r="A47" s="164"/>
      <c r="B47" s="93">
        <v>37</v>
      </c>
      <c r="C47" s="79">
        <v>4.0150000000000032</v>
      </c>
      <c r="D47" s="190">
        <v>4.9600000000000026</v>
      </c>
      <c r="E47" s="94">
        <v>0.1295</v>
      </c>
      <c r="F47" s="95">
        <v>0.13166745375667424</v>
      </c>
      <c r="G47" s="96">
        <f t="shared" si="6"/>
        <v>40.145000000000003</v>
      </c>
      <c r="H47" s="97">
        <f t="shared" si="7"/>
        <v>40.816910664569015</v>
      </c>
      <c r="I47" s="193"/>
      <c r="J47" s="98">
        <f t="shared" si="8"/>
        <v>244901.46398741411</v>
      </c>
      <c r="K47" s="164"/>
      <c r="L47" s="99">
        <v>0.13166745375667424</v>
      </c>
      <c r="M47" s="97">
        <f t="shared" si="9"/>
        <v>40.816910664569015</v>
      </c>
      <c r="N47" s="164"/>
      <c r="O47" s="80">
        <v>4.9600000000000026</v>
      </c>
      <c r="P47" s="100">
        <f t="shared" si="10"/>
        <v>40.816910664569015</v>
      </c>
      <c r="Q47" s="98">
        <f t="shared" si="11"/>
        <v>244901.46398741411</v>
      </c>
      <c r="R47" s="164"/>
      <c r="S47" s="164"/>
      <c r="T47" s="164"/>
      <c r="U47" s="164"/>
      <c r="V47" s="164"/>
      <c r="W47" s="164"/>
      <c r="X47" s="164"/>
    </row>
    <row r="48" spans="1:24">
      <c r="A48" s="164"/>
      <c r="B48" s="93">
        <v>38</v>
      </c>
      <c r="C48" s="79">
        <v>4.110000000000003</v>
      </c>
      <c r="D48" s="190">
        <v>5.0400000000000027</v>
      </c>
      <c r="E48" s="94">
        <v>0.13299999999999998</v>
      </c>
      <c r="F48" s="95">
        <v>0.13597614339205519</v>
      </c>
      <c r="G48" s="96">
        <f t="shared" si="6"/>
        <v>41.23</v>
      </c>
      <c r="H48" s="97">
        <f t="shared" si="7"/>
        <v>42.152604451537108</v>
      </c>
      <c r="I48" s="193"/>
      <c r="J48" s="98">
        <f t="shared" si="8"/>
        <v>252915.62670922265</v>
      </c>
      <c r="K48" s="164"/>
      <c r="L48" s="99">
        <v>0.13597614339205519</v>
      </c>
      <c r="M48" s="97">
        <f t="shared" si="9"/>
        <v>42.152604451537108</v>
      </c>
      <c r="N48" s="164"/>
      <c r="O48" s="80">
        <v>5.0400000000000027</v>
      </c>
      <c r="P48" s="100">
        <f t="shared" si="10"/>
        <v>42.152604451537108</v>
      </c>
      <c r="Q48" s="98">
        <f t="shared" si="11"/>
        <v>252915.62670922265</v>
      </c>
      <c r="R48" s="164"/>
      <c r="S48" s="164"/>
      <c r="T48" s="164"/>
      <c r="U48" s="164"/>
      <c r="V48" s="164"/>
      <c r="W48" s="164"/>
      <c r="X48" s="164"/>
    </row>
    <row r="49" spans="1:24">
      <c r="A49" s="164"/>
      <c r="B49" s="93">
        <v>39</v>
      </c>
      <c r="C49" s="79">
        <v>4.2050000000000027</v>
      </c>
      <c r="D49" s="190">
        <v>5.1200000000000028</v>
      </c>
      <c r="E49" s="94">
        <v>0.13649999999999998</v>
      </c>
      <c r="F49" s="95">
        <v>0.14042583071398929</v>
      </c>
      <c r="G49" s="96">
        <f t="shared" si="6"/>
        <v>42.314999999999998</v>
      </c>
      <c r="H49" s="97">
        <f t="shared" si="7"/>
        <v>43.532007521336681</v>
      </c>
      <c r="I49" s="193"/>
      <c r="J49" s="98">
        <f t="shared" si="8"/>
        <v>261192.04512802008</v>
      </c>
      <c r="K49" s="164"/>
      <c r="L49" s="99">
        <v>0.14042583071398929</v>
      </c>
      <c r="M49" s="97">
        <f t="shared" si="9"/>
        <v>43.532007521336681</v>
      </c>
      <c r="N49" s="164"/>
      <c r="O49" s="80">
        <v>5.1200000000000028</v>
      </c>
      <c r="P49" s="100">
        <f t="shared" si="10"/>
        <v>43.532007521336681</v>
      </c>
      <c r="Q49" s="98">
        <f t="shared" si="11"/>
        <v>261192.04512802008</v>
      </c>
      <c r="R49" s="164"/>
      <c r="S49" s="164"/>
      <c r="T49" s="164"/>
      <c r="U49" s="164"/>
      <c r="V49" s="164"/>
      <c r="W49" s="164"/>
      <c r="X49" s="164"/>
    </row>
    <row r="50" spans="1:24">
      <c r="A50" s="164"/>
      <c r="B50" s="93">
        <v>40</v>
      </c>
      <c r="C50" s="79">
        <v>4.3000000000000025</v>
      </c>
      <c r="D50" s="190">
        <v>5.2000000000000028</v>
      </c>
      <c r="E50" s="94">
        <v>0.13999999999999999</v>
      </c>
      <c r="F50" s="95">
        <v>0.14502112973492484</v>
      </c>
      <c r="G50" s="96">
        <f t="shared" si="6"/>
        <v>43.4</v>
      </c>
      <c r="H50" s="97">
        <f t="shared" si="7"/>
        <v>44.956550217826702</v>
      </c>
      <c r="I50" s="193"/>
      <c r="J50" s="98">
        <f t="shared" si="8"/>
        <v>269739.30130696023</v>
      </c>
      <c r="K50" s="164"/>
      <c r="L50" s="99">
        <v>0.14502112973492484</v>
      </c>
      <c r="M50" s="97">
        <f t="shared" si="9"/>
        <v>44.956550217826702</v>
      </c>
      <c r="N50" s="164"/>
      <c r="O50" s="80">
        <v>5.2000000000000028</v>
      </c>
      <c r="P50" s="100">
        <f t="shared" si="10"/>
        <v>44.956550217826702</v>
      </c>
      <c r="Q50" s="98">
        <f t="shared" si="11"/>
        <v>269739.30130696023</v>
      </c>
      <c r="R50" s="164"/>
      <c r="S50" s="164"/>
      <c r="T50" s="164"/>
      <c r="U50" s="164"/>
      <c r="V50" s="164"/>
      <c r="W50" s="164"/>
      <c r="X50" s="164"/>
    </row>
    <row r="51" spans="1:24">
      <c r="A51" s="164"/>
      <c r="B51" s="93">
        <v>41</v>
      </c>
      <c r="C51" s="79">
        <v>4.3950000000000022</v>
      </c>
      <c r="D51" s="190">
        <v>5.2800000000000029</v>
      </c>
      <c r="E51" s="94">
        <v>0.14349999999999999</v>
      </c>
      <c r="F51" s="95">
        <v>0.14976680545638935</v>
      </c>
      <c r="G51" s="96">
        <f t="shared" si="6"/>
        <v>44.484999999999999</v>
      </c>
      <c r="H51" s="97">
        <f t="shared" si="7"/>
        <v>46.4277096914807</v>
      </c>
      <c r="I51" s="193"/>
      <c r="J51" s="98">
        <f t="shared" si="8"/>
        <v>278566.25814888423</v>
      </c>
      <c r="K51" s="164"/>
      <c r="L51" s="99">
        <v>0.14976680545638935</v>
      </c>
      <c r="M51" s="97">
        <f t="shared" si="9"/>
        <v>46.4277096914807</v>
      </c>
      <c r="N51" s="164"/>
      <c r="O51" s="80">
        <v>5.2800000000000029</v>
      </c>
      <c r="P51" s="100">
        <f t="shared" si="10"/>
        <v>46.4277096914807</v>
      </c>
      <c r="Q51" s="98">
        <f t="shared" si="11"/>
        <v>278566.25814888423</v>
      </c>
      <c r="R51" s="164"/>
      <c r="S51" s="164"/>
      <c r="T51" s="164"/>
      <c r="U51" s="164"/>
      <c r="V51" s="164"/>
      <c r="W51" s="164"/>
      <c r="X51" s="164"/>
    </row>
    <row r="52" spans="1:24">
      <c r="A52" s="164"/>
      <c r="B52" s="93">
        <v>42</v>
      </c>
      <c r="C52" s="79">
        <v>4.490000000000002</v>
      </c>
      <c r="D52" s="190">
        <v>5.360000000000003</v>
      </c>
      <c r="E52" s="94">
        <v>0.14699999999999999</v>
      </c>
      <c r="F52" s="95">
        <v>0.15466777880996077</v>
      </c>
      <c r="G52" s="96">
        <f t="shared" si="6"/>
        <v>45.57</v>
      </c>
      <c r="H52" s="97">
        <f t="shared" si="7"/>
        <v>47.947011431087837</v>
      </c>
      <c r="I52" s="193"/>
      <c r="J52" s="98">
        <f t="shared" si="8"/>
        <v>287682.06858652702</v>
      </c>
      <c r="K52" s="164"/>
      <c r="L52" s="99">
        <v>0.15466777880996077</v>
      </c>
      <c r="M52" s="97">
        <f t="shared" si="9"/>
        <v>47.947011431087837</v>
      </c>
      <c r="N52" s="164"/>
      <c r="O52" s="80">
        <v>5.360000000000003</v>
      </c>
      <c r="P52" s="100">
        <f t="shared" si="10"/>
        <v>47.947011431087837</v>
      </c>
      <c r="Q52" s="98">
        <f t="shared" si="11"/>
        <v>287682.06858652702</v>
      </c>
      <c r="R52" s="164"/>
      <c r="S52" s="164"/>
      <c r="T52" s="164"/>
      <c r="U52" s="164"/>
      <c r="V52" s="164"/>
      <c r="W52" s="164"/>
      <c r="X52" s="164"/>
    </row>
    <row r="53" spans="1:24">
      <c r="A53" s="164"/>
      <c r="B53" s="93">
        <v>43</v>
      </c>
      <c r="C53" s="79">
        <v>4.5850000000000017</v>
      </c>
      <c r="D53" s="190">
        <v>5.4400000000000031</v>
      </c>
      <c r="E53" s="94">
        <v>0.15049999999999999</v>
      </c>
      <c r="F53" s="95">
        <v>0.15972913175992687</v>
      </c>
      <c r="G53" s="96">
        <f t="shared" si="6"/>
        <v>46.655000000000001</v>
      </c>
      <c r="H53" s="97">
        <f t="shared" si="7"/>
        <v>49.516030845577326</v>
      </c>
      <c r="I53" s="193"/>
      <c r="J53" s="98">
        <f t="shared" si="8"/>
        <v>297096.18507346394</v>
      </c>
      <c r="K53" s="164"/>
      <c r="L53" s="99">
        <v>0.15972913175992687</v>
      </c>
      <c r="M53" s="97">
        <f t="shared" si="9"/>
        <v>49.516030845577326</v>
      </c>
      <c r="N53" s="164"/>
      <c r="O53" s="80">
        <v>5.4400000000000031</v>
      </c>
      <c r="P53" s="100">
        <f t="shared" si="10"/>
        <v>49.516030845577326</v>
      </c>
      <c r="Q53" s="98">
        <f t="shared" si="11"/>
        <v>297096.18507346394</v>
      </c>
      <c r="R53" s="164"/>
      <c r="S53" s="164"/>
      <c r="T53" s="164"/>
      <c r="U53" s="164"/>
      <c r="V53" s="164"/>
      <c r="W53" s="164"/>
      <c r="X53" s="164"/>
    </row>
    <row r="54" spans="1:24">
      <c r="A54" s="164"/>
      <c r="B54" s="93">
        <v>44</v>
      </c>
      <c r="C54" s="79">
        <v>4.6800000000000015</v>
      </c>
      <c r="D54" s="190">
        <v>5.5200000000000031</v>
      </c>
      <c r="E54" s="94">
        <v>0.154</v>
      </c>
      <c r="F54" s="95">
        <v>0.1649561125729245</v>
      </c>
      <c r="G54" s="96">
        <f t="shared" si="6"/>
        <v>47.74</v>
      </c>
      <c r="H54" s="97">
        <f t="shared" si="7"/>
        <v>51.136394897606593</v>
      </c>
      <c r="I54" s="193"/>
      <c r="J54" s="98">
        <f t="shared" si="8"/>
        <v>306818.36938563961</v>
      </c>
      <c r="K54" s="164"/>
      <c r="L54" s="99">
        <v>0.1649561125729245</v>
      </c>
      <c r="M54" s="97">
        <f t="shared" si="9"/>
        <v>51.136394897606593</v>
      </c>
      <c r="N54" s="164"/>
      <c r="O54" s="80">
        <v>5.5200000000000031</v>
      </c>
      <c r="P54" s="100">
        <f t="shared" si="10"/>
        <v>51.136394897606593</v>
      </c>
      <c r="Q54" s="98">
        <f t="shared" si="11"/>
        <v>306818.36938563961</v>
      </c>
      <c r="R54" s="164"/>
      <c r="S54" s="164"/>
      <c r="T54" s="164"/>
      <c r="U54" s="164"/>
      <c r="V54" s="164"/>
      <c r="W54" s="164"/>
      <c r="X54" s="164"/>
    </row>
    <row r="55" spans="1:24">
      <c r="A55" s="164"/>
      <c r="B55" s="93">
        <v>45</v>
      </c>
      <c r="C55" s="79">
        <v>4.7750000000000012</v>
      </c>
      <c r="D55" s="190">
        <v>5.6000000000000032</v>
      </c>
      <c r="E55" s="94">
        <v>0.1575</v>
      </c>
      <c r="F55" s="95">
        <v>0.1703541412600226</v>
      </c>
      <c r="G55" s="96">
        <f t="shared" si="6"/>
        <v>48.825000000000003</v>
      </c>
      <c r="H55" s="97">
        <f t="shared" si="7"/>
        <v>52.809783790607007</v>
      </c>
      <c r="I55" s="193"/>
      <c r="J55" s="98">
        <f t="shared" si="8"/>
        <v>316858.70274364203</v>
      </c>
      <c r="K55" s="164"/>
      <c r="L55" s="99">
        <v>0.1703541412600226</v>
      </c>
      <c r="M55" s="97">
        <f t="shared" si="9"/>
        <v>52.809783790607007</v>
      </c>
      <c r="N55" s="164"/>
      <c r="O55" s="80">
        <v>5.6000000000000032</v>
      </c>
      <c r="P55" s="100">
        <f t="shared" si="10"/>
        <v>52.809783790607007</v>
      </c>
      <c r="Q55" s="98">
        <f t="shared" si="11"/>
        <v>316858.70274364203</v>
      </c>
      <c r="R55" s="164"/>
      <c r="S55" s="164"/>
      <c r="T55" s="164"/>
      <c r="U55" s="164"/>
      <c r="V55" s="164"/>
      <c r="W55" s="164"/>
      <c r="X55" s="164"/>
    </row>
    <row r="56" spans="1:24">
      <c r="A56" s="164"/>
      <c r="B56" s="93">
        <v>46</v>
      </c>
      <c r="C56" s="79">
        <v>4.870000000000001</v>
      </c>
      <c r="D56" s="190">
        <v>5.6800000000000033</v>
      </c>
      <c r="E56" s="94">
        <v>0.161</v>
      </c>
      <c r="F56" s="95">
        <v>0.17592881519689191</v>
      </c>
      <c r="G56" s="96">
        <f t="shared" si="6"/>
        <v>49.910000000000004</v>
      </c>
      <c r="H56" s="97">
        <f t="shared" si="7"/>
        <v>54.53793271103649</v>
      </c>
      <c r="I56" s="193"/>
      <c r="J56" s="98">
        <f t="shared" si="8"/>
        <v>327227.59626621893</v>
      </c>
      <c r="K56" s="164"/>
      <c r="L56" s="99">
        <v>0.17592881519689191</v>
      </c>
      <c r="M56" s="97">
        <f t="shared" si="9"/>
        <v>54.53793271103649</v>
      </c>
      <c r="N56" s="164"/>
      <c r="O56" s="80">
        <v>5.6800000000000033</v>
      </c>
      <c r="P56" s="100">
        <f t="shared" si="10"/>
        <v>54.53793271103649</v>
      </c>
      <c r="Q56" s="98">
        <f t="shared" si="11"/>
        <v>327227.59626621893</v>
      </c>
      <c r="R56" s="164"/>
      <c r="S56" s="164"/>
      <c r="T56" s="164"/>
      <c r="U56" s="164"/>
      <c r="V56" s="164"/>
      <c r="W56" s="164"/>
      <c r="X56" s="164"/>
    </row>
    <row r="57" spans="1:24">
      <c r="A57" s="164"/>
      <c r="B57" s="93">
        <v>47</v>
      </c>
      <c r="C57" s="79">
        <v>4.9650000000000007</v>
      </c>
      <c r="D57" s="190">
        <v>5.7600000000000033</v>
      </c>
      <c r="E57" s="94">
        <v>0.16449999999999998</v>
      </c>
      <c r="F57" s="95">
        <v>0.18168591492788955</v>
      </c>
      <c r="G57" s="96">
        <f t="shared" si="6"/>
        <v>50.99499999999999</v>
      </c>
      <c r="H57" s="97">
        <f t="shared" si="7"/>
        <v>56.322633627645757</v>
      </c>
      <c r="I57" s="193"/>
      <c r="J57" s="98">
        <f t="shared" si="8"/>
        <v>337935.80176587455</v>
      </c>
      <c r="K57" s="164"/>
      <c r="L57" s="99">
        <v>0.18168591492788955</v>
      </c>
      <c r="M57" s="97">
        <f t="shared" si="9"/>
        <v>56.322633627645757</v>
      </c>
      <c r="N57" s="164"/>
      <c r="O57" s="80">
        <v>5.7600000000000033</v>
      </c>
      <c r="P57" s="100">
        <f t="shared" si="10"/>
        <v>56.322633627645757</v>
      </c>
      <c r="Q57" s="98">
        <f t="shared" si="11"/>
        <v>337935.80176587455</v>
      </c>
      <c r="R57" s="164"/>
      <c r="S57" s="164"/>
      <c r="T57" s="164"/>
      <c r="U57" s="164"/>
      <c r="V57" s="164"/>
      <c r="W57" s="164"/>
      <c r="X57" s="164"/>
    </row>
    <row r="58" spans="1:24">
      <c r="A58" s="164"/>
      <c r="B58" s="93">
        <v>48</v>
      </c>
      <c r="C58" s="79">
        <v>5.0600000000000005</v>
      </c>
      <c r="D58" s="190">
        <v>5.8400000000000034</v>
      </c>
      <c r="E58" s="94">
        <v>0.16799999999999998</v>
      </c>
      <c r="F58" s="95">
        <v>0.18763141016007648</v>
      </c>
      <c r="G58" s="96">
        <f t="shared" si="6"/>
        <v>52.079999999999991</v>
      </c>
      <c r="H58" s="97">
        <f t="shared" si="7"/>
        <v>58.165737149623709</v>
      </c>
      <c r="I58" s="193"/>
      <c r="J58" s="98">
        <f t="shared" si="8"/>
        <v>348994.42289774225</v>
      </c>
      <c r="K58" s="164"/>
      <c r="L58" s="99">
        <v>0.18763141016007648</v>
      </c>
      <c r="M58" s="97">
        <f t="shared" si="9"/>
        <v>58.165737149623709</v>
      </c>
      <c r="N58" s="164"/>
      <c r="O58" s="80">
        <v>5.8400000000000034</v>
      </c>
      <c r="P58" s="100">
        <f t="shared" si="10"/>
        <v>58.165737149623709</v>
      </c>
      <c r="Q58" s="98">
        <f t="shared" si="11"/>
        <v>348994.42289774225</v>
      </c>
      <c r="R58" s="164"/>
      <c r="S58" s="164"/>
      <c r="T58" s="164"/>
      <c r="U58" s="164"/>
      <c r="V58" s="164"/>
      <c r="W58" s="164"/>
      <c r="X58" s="164"/>
    </row>
    <row r="59" spans="1:24">
      <c r="A59" s="164"/>
      <c r="B59" s="93">
        <v>49</v>
      </c>
      <c r="C59" s="79">
        <v>5.1550000000000002</v>
      </c>
      <c r="D59" s="190">
        <v>5.9200000000000035</v>
      </c>
      <c r="E59" s="94">
        <v>0.17149999999999999</v>
      </c>
      <c r="F59" s="95">
        <v>0.19377146595338332</v>
      </c>
      <c r="G59" s="96">
        <f t="shared" si="6"/>
        <v>53.164999999999992</v>
      </c>
      <c r="H59" s="97">
        <f t="shared" si="7"/>
        <v>60.069154445548833</v>
      </c>
      <c r="I59" s="193"/>
      <c r="J59" s="98">
        <f t="shared" si="8"/>
        <v>360414.926673293</v>
      </c>
      <c r="K59" s="164"/>
      <c r="L59" s="99">
        <v>0.19377146595338332</v>
      </c>
      <c r="M59" s="97">
        <f t="shared" si="9"/>
        <v>60.069154445548833</v>
      </c>
      <c r="N59" s="164"/>
      <c r="O59" s="80">
        <v>5.9200000000000035</v>
      </c>
      <c r="P59" s="100">
        <f t="shared" si="10"/>
        <v>60.069154445548833</v>
      </c>
      <c r="Q59" s="98">
        <f t="shared" si="11"/>
        <v>360414.926673293</v>
      </c>
      <c r="R59" s="164"/>
      <c r="S59" s="164"/>
      <c r="T59" s="164"/>
      <c r="U59" s="164"/>
      <c r="V59" s="164"/>
      <c r="W59" s="164"/>
      <c r="X59" s="164"/>
    </row>
    <row r="60" spans="1:24">
      <c r="A60" s="164"/>
      <c r="B60" s="93">
        <v>50</v>
      </c>
      <c r="C60" s="79">
        <v>5.25</v>
      </c>
      <c r="D60" s="190">
        <v>6.0000000000000036</v>
      </c>
      <c r="E60" s="94">
        <v>0.17499999999999999</v>
      </c>
      <c r="F60" s="95">
        <v>0.20011244911334353</v>
      </c>
      <c r="G60" s="96">
        <f t="shared" si="6"/>
        <v>54.25</v>
      </c>
      <c r="H60" s="97">
        <f t="shared" si="7"/>
        <v>62.034859225136493</v>
      </c>
      <c r="I60" s="193"/>
      <c r="J60" s="98">
        <f t="shared" si="8"/>
        <v>372209.15535081894</v>
      </c>
      <c r="K60" s="164"/>
      <c r="L60" s="99">
        <v>0.20011244911334353</v>
      </c>
      <c r="M60" s="97">
        <f t="shared" si="9"/>
        <v>62.034859225136493</v>
      </c>
      <c r="N60" s="164"/>
      <c r="O60" s="80">
        <v>6.0000000000000036</v>
      </c>
      <c r="P60" s="100">
        <f t="shared" si="10"/>
        <v>62.034859225136493</v>
      </c>
      <c r="Q60" s="98">
        <f t="shared" si="11"/>
        <v>372209.15535081894</v>
      </c>
      <c r="R60" s="164"/>
      <c r="S60" s="164"/>
      <c r="T60" s="164"/>
      <c r="U60" s="164"/>
      <c r="V60" s="164"/>
      <c r="W60" s="164"/>
      <c r="X60" s="164"/>
    </row>
    <row r="61" spans="1:24">
      <c r="A61" s="164"/>
      <c r="B61" s="93">
        <v>51</v>
      </c>
      <c r="C61" s="79">
        <v>5.3449999999999998</v>
      </c>
      <c r="D61" s="190">
        <v>6.0800000000000036</v>
      </c>
      <c r="E61" s="94">
        <v>0.17849999999999999</v>
      </c>
      <c r="F61" s="95">
        <v>0.20666093479302239</v>
      </c>
      <c r="G61" s="96">
        <f t="shared" si="6"/>
        <v>55.335000000000001</v>
      </c>
      <c r="H61" s="97">
        <f t="shared" si="7"/>
        <v>64.064889785836939</v>
      </c>
      <c r="I61" s="193"/>
      <c r="J61" s="98">
        <f t="shared" si="8"/>
        <v>384389.33871502161</v>
      </c>
      <c r="K61" s="164"/>
      <c r="L61" s="99">
        <v>0.20666093479302239</v>
      </c>
      <c r="M61" s="97">
        <f t="shared" si="9"/>
        <v>64.064889785836939</v>
      </c>
      <c r="N61" s="164"/>
      <c r="O61" s="80">
        <v>6.0800000000000036</v>
      </c>
      <c r="P61" s="100">
        <f t="shared" si="10"/>
        <v>64.064889785836939</v>
      </c>
      <c r="Q61" s="98">
        <f t="shared" si="11"/>
        <v>384389.33871502161</v>
      </c>
      <c r="R61" s="164"/>
      <c r="S61" s="164"/>
      <c r="T61" s="164"/>
      <c r="U61" s="164"/>
      <c r="V61" s="164"/>
      <c r="W61" s="164"/>
      <c r="X61" s="164"/>
    </row>
    <row r="62" spans="1:24">
      <c r="A62" s="164"/>
      <c r="B62" s="93">
        <v>52</v>
      </c>
      <c r="C62" s="79">
        <v>5.4399999999999995</v>
      </c>
      <c r="D62" s="190">
        <v>6.1600000000000037</v>
      </c>
      <c r="E62" s="94">
        <v>0.182</v>
      </c>
      <c r="F62" s="95">
        <v>0.21342371331098769</v>
      </c>
      <c r="G62" s="96">
        <f t="shared" si="6"/>
        <v>56.42</v>
      </c>
      <c r="H62" s="97">
        <f t="shared" si="7"/>
        <v>66.161351126406188</v>
      </c>
      <c r="I62" s="193"/>
      <c r="J62" s="98">
        <f t="shared" si="8"/>
        <v>396968.10675843712</v>
      </c>
      <c r="K62" s="164"/>
      <c r="L62" s="99">
        <v>0.21342371331098769</v>
      </c>
      <c r="M62" s="97">
        <f t="shared" si="9"/>
        <v>66.161351126406188</v>
      </c>
      <c r="N62" s="164"/>
      <c r="O62" s="80">
        <v>6.1600000000000037</v>
      </c>
      <c r="P62" s="100">
        <f t="shared" si="10"/>
        <v>66.161351126406188</v>
      </c>
      <c r="Q62" s="98">
        <f t="shared" si="11"/>
        <v>396968.10675843712</v>
      </c>
      <c r="R62" s="164"/>
      <c r="S62" s="164"/>
      <c r="T62" s="164"/>
      <c r="U62" s="164"/>
      <c r="V62" s="164"/>
      <c r="W62" s="164"/>
      <c r="X62" s="164"/>
    </row>
    <row r="63" spans="1:24">
      <c r="A63" s="164"/>
      <c r="B63" s="93">
        <v>53</v>
      </c>
      <c r="C63" s="79">
        <v>5.5349999999999993</v>
      </c>
      <c r="D63" s="190">
        <v>6.2400000000000038</v>
      </c>
      <c r="E63" s="94">
        <v>0.1855</v>
      </c>
      <c r="F63" s="95">
        <v>0.22040779719239217</v>
      </c>
      <c r="G63" s="96">
        <f t="shared" si="6"/>
        <v>57.505000000000003</v>
      </c>
      <c r="H63" s="97">
        <f t="shared" si="7"/>
        <v>68.32641712964157</v>
      </c>
      <c r="I63" s="193"/>
      <c r="J63" s="98">
        <f t="shared" si="8"/>
        <v>409958.50277784938</v>
      </c>
      <c r="K63" s="164"/>
      <c r="L63" s="99">
        <v>0.22040779719239217</v>
      </c>
      <c r="M63" s="97">
        <f t="shared" si="9"/>
        <v>68.32641712964157</v>
      </c>
      <c r="N63" s="164"/>
      <c r="O63" s="80">
        <v>6.2400000000000038</v>
      </c>
      <c r="P63" s="100">
        <f t="shared" si="10"/>
        <v>68.32641712964157</v>
      </c>
      <c r="Q63" s="98">
        <f t="shared" si="11"/>
        <v>409958.50277784938</v>
      </c>
      <c r="R63" s="164"/>
      <c r="S63" s="164"/>
      <c r="T63" s="164"/>
      <c r="U63" s="164"/>
      <c r="V63" s="164"/>
      <c r="W63" s="164"/>
      <c r="X63" s="164"/>
    </row>
    <row r="64" spans="1:24">
      <c r="A64" s="164"/>
      <c r="B64" s="93">
        <v>54</v>
      </c>
      <c r="C64" s="79">
        <v>5.629999999999999</v>
      </c>
      <c r="D64" s="190">
        <v>6.3200000000000038</v>
      </c>
      <c r="E64" s="94">
        <v>0.189</v>
      </c>
      <c r="F64" s="95">
        <v>0.22762042844046829</v>
      </c>
      <c r="G64" s="96">
        <f t="shared" si="6"/>
        <v>58.59</v>
      </c>
      <c r="H64" s="97">
        <f t="shared" si="7"/>
        <v>70.562332816545165</v>
      </c>
      <c r="I64" s="193"/>
      <c r="J64" s="98">
        <f t="shared" si="8"/>
        <v>423373.99689927098</v>
      </c>
      <c r="K64" s="164"/>
      <c r="L64" s="99">
        <v>0.22762042844046829</v>
      </c>
      <c r="M64" s="97">
        <f t="shared" si="9"/>
        <v>70.562332816545165</v>
      </c>
      <c r="N64" s="164"/>
      <c r="O64" s="80">
        <v>6.3200000000000038</v>
      </c>
      <c r="P64" s="100">
        <f t="shared" si="10"/>
        <v>70.562332816545165</v>
      </c>
      <c r="Q64" s="98">
        <f t="shared" si="11"/>
        <v>423373.99689927098</v>
      </c>
      <c r="R64" s="164"/>
      <c r="S64" s="164"/>
      <c r="T64" s="164"/>
      <c r="U64" s="164"/>
      <c r="V64" s="164"/>
      <c r="W64" s="164"/>
      <c r="X64" s="164"/>
    </row>
    <row r="65" spans="1:24">
      <c r="A65" s="164"/>
      <c r="B65" s="93">
        <v>55</v>
      </c>
      <c r="C65" s="79">
        <v>5.7249999999999988</v>
      </c>
      <c r="D65" s="190">
        <v>6.4000000000000039</v>
      </c>
      <c r="E65" s="94">
        <v>0.1925</v>
      </c>
      <c r="F65" s="95">
        <v>0.23506908604597548</v>
      </c>
      <c r="G65" s="96">
        <f t="shared" si="6"/>
        <v>59.675000000000004</v>
      </c>
      <c r="H65" s="97">
        <f t="shared" si="7"/>
        <v>72.871416674252401</v>
      </c>
      <c r="I65" s="193"/>
      <c r="J65" s="98">
        <f t="shared" si="8"/>
        <v>437228.50004551443</v>
      </c>
      <c r="K65" s="164"/>
      <c r="L65" s="99">
        <v>0.23506908604597548</v>
      </c>
      <c r="M65" s="97">
        <f t="shared" si="9"/>
        <v>72.871416674252401</v>
      </c>
      <c r="N65" s="164"/>
      <c r="O65" s="80">
        <v>6.4000000000000039</v>
      </c>
      <c r="P65" s="100">
        <f t="shared" si="10"/>
        <v>72.871416674252401</v>
      </c>
      <c r="Q65" s="98">
        <f t="shared" si="11"/>
        <v>437228.50004551443</v>
      </c>
      <c r="R65" s="164"/>
      <c r="S65" s="164"/>
      <c r="T65" s="164"/>
      <c r="U65" s="164"/>
      <c r="V65" s="164"/>
      <c r="W65" s="164"/>
      <c r="X65" s="164"/>
    </row>
    <row r="66" spans="1:24">
      <c r="A66" s="164"/>
      <c r="B66" s="93">
        <v>56</v>
      </c>
      <c r="C66" s="79">
        <v>5.8199999999999985</v>
      </c>
      <c r="D66" s="190">
        <v>6.480000000000004</v>
      </c>
      <c r="E66" s="94">
        <v>0.19600000000000001</v>
      </c>
      <c r="F66" s="95">
        <v>0.24276149374238709</v>
      </c>
      <c r="G66" s="96">
        <f t="shared" si="6"/>
        <v>60.760000000000005</v>
      </c>
      <c r="H66" s="97">
        <f t="shared" si="7"/>
        <v>75.256063060139994</v>
      </c>
      <c r="I66" s="193"/>
      <c r="J66" s="98">
        <f t="shared" si="8"/>
        <v>451536.37836083997</v>
      </c>
      <c r="K66" s="164"/>
      <c r="L66" s="99">
        <v>0.24276149374238709</v>
      </c>
      <c r="M66" s="97">
        <f t="shared" si="9"/>
        <v>75.256063060139994</v>
      </c>
      <c r="N66" s="164"/>
      <c r="O66" s="80">
        <v>6.480000000000004</v>
      </c>
      <c r="P66" s="100">
        <f t="shared" si="10"/>
        <v>75.256063060139994</v>
      </c>
      <c r="Q66" s="98">
        <f t="shared" si="11"/>
        <v>451536.37836083997</v>
      </c>
      <c r="R66" s="164"/>
      <c r="S66" s="164"/>
      <c r="T66" s="164"/>
      <c r="U66" s="164"/>
      <c r="V66" s="164"/>
      <c r="W66" s="164"/>
      <c r="X66" s="164"/>
    </row>
    <row r="67" spans="1:24">
      <c r="A67" s="164"/>
      <c r="B67" s="93">
        <v>57</v>
      </c>
      <c r="C67" s="79">
        <v>5.9149999999999983</v>
      </c>
      <c r="D67" s="190">
        <v>6.5600000000000041</v>
      </c>
      <c r="E67" s="94">
        <v>0.19949999999999998</v>
      </c>
      <c r="F67" s="95">
        <v>0.25070562801485818</v>
      </c>
      <c r="G67" s="96">
        <f t="shared" si="6"/>
        <v>61.844999999999992</v>
      </c>
      <c r="H67" s="97">
        <f t="shared" si="7"/>
        <v>77.718744684606037</v>
      </c>
      <c r="I67" s="193"/>
      <c r="J67" s="98">
        <f t="shared" si="8"/>
        <v>466312.4681076362</v>
      </c>
      <c r="K67" s="164"/>
      <c r="L67" s="99">
        <v>0.25070562801485818</v>
      </c>
      <c r="M67" s="97">
        <f t="shared" si="9"/>
        <v>77.718744684606037</v>
      </c>
      <c r="N67" s="164"/>
      <c r="O67" s="80">
        <v>6.5600000000000041</v>
      </c>
      <c r="P67" s="100">
        <f t="shared" si="10"/>
        <v>77.718744684606037</v>
      </c>
      <c r="Q67" s="98">
        <f t="shared" si="11"/>
        <v>466312.4681076362</v>
      </c>
      <c r="R67" s="164"/>
      <c r="S67" s="164"/>
      <c r="T67" s="164"/>
      <c r="U67" s="164"/>
      <c r="V67" s="164"/>
      <c r="W67" s="164"/>
      <c r="X67" s="164"/>
    </row>
    <row r="68" spans="1:24">
      <c r="A68" s="164"/>
      <c r="B68" s="93">
        <v>58</v>
      </c>
      <c r="C68" s="79">
        <v>6.009999999999998</v>
      </c>
      <c r="D68" s="190">
        <v>6.6400000000000041</v>
      </c>
      <c r="E68" s="94">
        <v>0.20299999999999999</v>
      </c>
      <c r="F68" s="95">
        <v>0.25890972637127929</v>
      </c>
      <c r="G68" s="96">
        <f t="shared" si="6"/>
        <v>62.929999999999993</v>
      </c>
      <c r="H68" s="97">
        <f t="shared" si="7"/>
        <v>80.262015175096579</v>
      </c>
      <c r="I68" s="193"/>
      <c r="J68" s="98">
        <f t="shared" si="8"/>
        <v>481572.0910505795</v>
      </c>
      <c r="K68" s="164"/>
      <c r="L68" s="99">
        <v>0.25890972637127929</v>
      </c>
      <c r="M68" s="97">
        <f t="shared" si="9"/>
        <v>80.262015175096579</v>
      </c>
      <c r="N68" s="164"/>
      <c r="O68" s="80">
        <v>6.6400000000000041</v>
      </c>
      <c r="P68" s="100">
        <f t="shared" si="10"/>
        <v>80.262015175096579</v>
      </c>
      <c r="Q68" s="98">
        <f t="shared" si="11"/>
        <v>481572.0910505795</v>
      </c>
      <c r="R68" s="164"/>
      <c r="S68" s="164"/>
      <c r="T68" s="164"/>
      <c r="U68" s="164"/>
      <c r="V68" s="164"/>
      <c r="W68" s="164"/>
      <c r="X68" s="164"/>
    </row>
    <row r="69" spans="1:24">
      <c r="A69" s="164"/>
      <c r="B69" s="93">
        <v>59</v>
      </c>
      <c r="C69" s="79">
        <v>6.1049999999999978</v>
      </c>
      <c r="D69" s="190">
        <v>6.7200000000000042</v>
      </c>
      <c r="E69" s="94">
        <v>0.20649999999999999</v>
      </c>
      <c r="F69" s="95">
        <v>0.26738229588399148</v>
      </c>
      <c r="G69" s="96">
        <f t="shared" si="6"/>
        <v>64.015000000000001</v>
      </c>
      <c r="H69" s="97">
        <f t="shared" si="7"/>
        <v>82.888511724037357</v>
      </c>
      <c r="I69" s="193"/>
      <c r="J69" s="98">
        <f t="shared" si="8"/>
        <v>497331.07034422416</v>
      </c>
      <c r="K69" s="164"/>
      <c r="L69" s="99">
        <v>0.26738229588399148</v>
      </c>
      <c r="M69" s="97">
        <f t="shared" si="9"/>
        <v>82.888511724037357</v>
      </c>
      <c r="N69" s="164"/>
      <c r="O69" s="80">
        <v>6.7200000000000042</v>
      </c>
      <c r="P69" s="100">
        <f t="shared" si="10"/>
        <v>82.888511724037357</v>
      </c>
      <c r="Q69" s="98">
        <f t="shared" si="11"/>
        <v>497331.07034422416</v>
      </c>
      <c r="R69" s="164"/>
      <c r="S69" s="164"/>
      <c r="T69" s="164"/>
      <c r="U69" s="164"/>
      <c r="V69" s="164"/>
      <c r="W69" s="164"/>
      <c r="X69" s="164"/>
    </row>
    <row r="70" spans="1:24">
      <c r="A70" s="164"/>
      <c r="B70" s="93">
        <v>60</v>
      </c>
      <c r="C70" s="79">
        <v>6.1999999999999975</v>
      </c>
      <c r="D70" s="190">
        <v>6.8000000000000043</v>
      </c>
      <c r="E70" s="94">
        <v>0.21</v>
      </c>
      <c r="F70" s="95">
        <v>0.27613212201102189</v>
      </c>
      <c r="G70" s="96">
        <f t="shared" si="6"/>
        <v>65.099999999999994</v>
      </c>
      <c r="H70" s="97">
        <f t="shared" si="7"/>
        <v>85.600957823416778</v>
      </c>
      <c r="I70" s="193"/>
      <c r="J70" s="98">
        <f t="shared" si="8"/>
        <v>513605.74694050069</v>
      </c>
      <c r="K70" s="164"/>
      <c r="L70" s="99">
        <v>0.27613212201102189</v>
      </c>
      <c r="M70" s="97">
        <f t="shared" si="9"/>
        <v>85.600957823416778</v>
      </c>
      <c r="N70" s="164"/>
      <c r="O70" s="80">
        <v>6.8000000000000043</v>
      </c>
      <c r="P70" s="100">
        <f t="shared" si="10"/>
        <v>85.600957823416778</v>
      </c>
      <c r="Q70" s="98">
        <f t="shared" si="11"/>
        <v>513605.74694050069</v>
      </c>
      <c r="R70" s="164"/>
      <c r="S70" s="164"/>
      <c r="T70" s="164"/>
      <c r="U70" s="164"/>
      <c r="V70" s="164"/>
      <c r="W70" s="164"/>
      <c r="X70" s="164"/>
    </row>
    <row r="71" spans="1:24">
      <c r="A71" s="164"/>
      <c r="B71" s="93">
        <v>61</v>
      </c>
      <c r="C71" s="79">
        <v>6.2949999999999973</v>
      </c>
      <c r="D71" s="190">
        <v>6.8800000000000043</v>
      </c>
      <c r="E71" s="94">
        <v>0.2135</v>
      </c>
      <c r="F71" s="95">
        <v>0.2851682777059848</v>
      </c>
      <c r="G71" s="96">
        <f t="shared" si="6"/>
        <v>66.185000000000002</v>
      </c>
      <c r="H71" s="97">
        <f t="shared" si="7"/>
        <v>88.402166088855282</v>
      </c>
      <c r="I71" s="193"/>
      <c r="J71" s="98">
        <f t="shared" si="8"/>
        <v>530412.99653313169</v>
      </c>
      <c r="K71" s="164"/>
      <c r="L71" s="99">
        <v>0.2851682777059848</v>
      </c>
      <c r="M71" s="97">
        <f t="shared" si="9"/>
        <v>88.402166088855282</v>
      </c>
      <c r="N71" s="164"/>
      <c r="O71" s="80">
        <v>6.8800000000000043</v>
      </c>
      <c r="P71" s="100">
        <f t="shared" si="10"/>
        <v>88.402166088855282</v>
      </c>
      <c r="Q71" s="98">
        <f t="shared" si="11"/>
        <v>530412.99653313169</v>
      </c>
      <c r="R71" s="164"/>
      <c r="S71" s="164"/>
      <c r="T71" s="164"/>
      <c r="U71" s="164"/>
      <c r="V71" s="164"/>
      <c r="W71" s="164"/>
      <c r="X71" s="164"/>
    </row>
    <row r="72" spans="1:24">
      <c r="A72" s="164"/>
      <c r="B72" s="93">
        <v>62</v>
      </c>
      <c r="C72" s="79">
        <v>6.389999999999997</v>
      </c>
      <c r="D72" s="190">
        <v>6.9600000000000044</v>
      </c>
      <c r="E72" s="94">
        <v>0.217</v>
      </c>
      <c r="F72" s="95">
        <v>0.29450013282609588</v>
      </c>
      <c r="G72" s="96">
        <f t="shared" si="6"/>
        <v>67.27</v>
      </c>
      <c r="H72" s="97">
        <f t="shared" si="7"/>
        <v>91.295041176089725</v>
      </c>
      <c r="I72" s="193"/>
      <c r="J72" s="98">
        <f t="shared" si="8"/>
        <v>547770.24705653836</v>
      </c>
      <c r="K72" s="164"/>
      <c r="L72" s="99">
        <v>0.29450013282609588</v>
      </c>
      <c r="M72" s="97">
        <f t="shared" si="9"/>
        <v>91.295041176089725</v>
      </c>
      <c r="N72" s="164"/>
      <c r="O72" s="80">
        <v>6.9600000000000044</v>
      </c>
      <c r="P72" s="100">
        <f t="shared" si="10"/>
        <v>91.295041176089725</v>
      </c>
      <c r="Q72" s="98">
        <f t="shared" si="11"/>
        <v>547770.24705653836</v>
      </c>
      <c r="R72" s="164"/>
      <c r="S72" s="164"/>
      <c r="T72" s="164"/>
      <c r="U72" s="164"/>
      <c r="V72" s="164"/>
      <c r="W72" s="164"/>
      <c r="X72" s="164"/>
    </row>
    <row r="73" spans="1:24">
      <c r="A73" s="164"/>
      <c r="B73" s="93">
        <v>63</v>
      </c>
      <c r="C73" s="79">
        <v>6.4849999999999968</v>
      </c>
      <c r="D73" s="190">
        <v>7.0400000000000045</v>
      </c>
      <c r="E73" s="94">
        <v>0.22049999999999997</v>
      </c>
      <c r="F73" s="95">
        <v>0.30413736384805429</v>
      </c>
      <c r="G73" s="96">
        <f t="shared" si="6"/>
        <v>68.35499999999999</v>
      </c>
      <c r="H73" s="97">
        <f t="shared" si="7"/>
        <v>94.282582792896832</v>
      </c>
      <c r="I73" s="193"/>
      <c r="J73" s="98">
        <f t="shared" si="8"/>
        <v>565695.49675738101</v>
      </c>
      <c r="K73" s="164"/>
      <c r="L73" s="99">
        <v>0.30413736384805429</v>
      </c>
      <c r="M73" s="97">
        <f t="shared" si="9"/>
        <v>94.282582792896832</v>
      </c>
      <c r="N73" s="164"/>
      <c r="O73" s="80">
        <v>7.0400000000000045</v>
      </c>
      <c r="P73" s="100">
        <f t="shared" si="10"/>
        <v>94.282582792896832</v>
      </c>
      <c r="Q73" s="98">
        <f t="shared" si="11"/>
        <v>565695.49675738101</v>
      </c>
      <c r="R73" s="164"/>
      <c r="S73" s="164"/>
      <c r="T73" s="164"/>
      <c r="U73" s="164"/>
      <c r="V73" s="164"/>
      <c r="W73" s="164"/>
      <c r="X73" s="164"/>
    </row>
    <row r="74" spans="1:24">
      <c r="A74" s="164"/>
      <c r="B74" s="93">
        <v>64</v>
      </c>
      <c r="C74" s="79">
        <v>6.5799999999999965</v>
      </c>
      <c r="D74" s="190">
        <v>7.1200000000000045</v>
      </c>
      <c r="E74" s="94">
        <v>0.22399999999999998</v>
      </c>
      <c r="F74" s="95">
        <v>0.314089963901868</v>
      </c>
      <c r="G74" s="96">
        <f t="shared" si="6"/>
        <v>69.44</v>
      </c>
      <c r="H74" s="97">
        <f t="shared" si="7"/>
        <v>97.367888809579085</v>
      </c>
      <c r="I74" s="193"/>
      <c r="J74" s="98">
        <f t="shared" si="8"/>
        <v>584207.33285747457</v>
      </c>
      <c r="K74" s="164"/>
      <c r="L74" s="99">
        <v>0.314089963901868</v>
      </c>
      <c r="M74" s="97">
        <f t="shared" si="9"/>
        <v>97.367888809579085</v>
      </c>
      <c r="N74" s="164"/>
      <c r="O74" s="80">
        <v>7.1200000000000045</v>
      </c>
      <c r="P74" s="100">
        <f t="shared" si="10"/>
        <v>97.367888809579085</v>
      </c>
      <c r="Q74" s="98">
        <f t="shared" si="11"/>
        <v>584207.33285747457</v>
      </c>
      <c r="R74" s="164"/>
      <c r="S74" s="164"/>
      <c r="T74" s="164"/>
      <c r="U74" s="164"/>
      <c r="V74" s="164"/>
      <c r="W74" s="164"/>
      <c r="X74" s="164"/>
    </row>
    <row r="75" spans="1:24">
      <c r="A75" s="164"/>
      <c r="B75" s="93">
        <v>65</v>
      </c>
      <c r="C75" s="79">
        <v>6.6749999999999963</v>
      </c>
      <c r="D75" s="190">
        <v>7.2000000000000046</v>
      </c>
      <c r="E75" s="94">
        <v>0.22749999999999998</v>
      </c>
      <c r="F75" s="95">
        <v>0.32436825313302559</v>
      </c>
      <c r="G75" s="96">
        <f t="shared" si="6"/>
        <v>70.524999999999991</v>
      </c>
      <c r="H75" s="97">
        <f t="shared" si="7"/>
        <v>100.55415847123793</v>
      </c>
      <c r="I75" s="193"/>
      <c r="J75" s="98">
        <f t="shared" si="8"/>
        <v>603324.95082742756</v>
      </c>
      <c r="K75" s="164"/>
      <c r="L75" s="99">
        <v>0.32436825313302559</v>
      </c>
      <c r="M75" s="97">
        <f t="shared" si="9"/>
        <v>100.55415847123793</v>
      </c>
      <c r="N75" s="164"/>
      <c r="O75" s="80">
        <v>7.2000000000000046</v>
      </c>
      <c r="P75" s="100">
        <f t="shared" si="10"/>
        <v>100.55415847123793</v>
      </c>
      <c r="Q75" s="98">
        <f t="shared" si="11"/>
        <v>603324.95082742756</v>
      </c>
      <c r="R75" s="164"/>
      <c r="S75" s="164"/>
      <c r="T75" s="164"/>
      <c r="U75" s="164"/>
      <c r="V75" s="164"/>
      <c r="W75" s="164"/>
      <c r="X75" s="164"/>
    </row>
    <row r="76" spans="1:24">
      <c r="A76" s="164"/>
      <c r="B76" s="93">
        <v>66</v>
      </c>
      <c r="C76" s="79">
        <v>6.769999999999996</v>
      </c>
      <c r="D76" s="190">
        <v>7.2800000000000047</v>
      </c>
      <c r="E76" s="94">
        <v>0.23099999999999998</v>
      </c>
      <c r="F76" s="95">
        <v>0.33498288940376031</v>
      </c>
      <c r="G76" s="96">
        <f t="shared" si="6"/>
        <v>71.61</v>
      </c>
      <c r="H76" s="97">
        <f t="shared" si="7"/>
        <v>103.8446957151657</v>
      </c>
      <c r="I76" s="193"/>
      <c r="J76" s="98">
        <f t="shared" si="8"/>
        <v>623068.17429099418</v>
      </c>
      <c r="K76" s="164"/>
      <c r="L76" s="99">
        <v>0.33498288940376031</v>
      </c>
      <c r="M76" s="97">
        <f t="shared" si="9"/>
        <v>103.8446957151657</v>
      </c>
      <c r="N76" s="164"/>
      <c r="O76" s="80">
        <v>7.2800000000000047</v>
      </c>
      <c r="P76" s="100">
        <f t="shared" si="10"/>
        <v>103.8446957151657</v>
      </c>
      <c r="Q76" s="98">
        <f t="shared" si="11"/>
        <v>623068.17429099418</v>
      </c>
      <c r="R76" s="164"/>
      <c r="S76" s="164"/>
      <c r="T76" s="164"/>
      <c r="U76" s="164"/>
      <c r="V76" s="164"/>
      <c r="W76" s="164"/>
      <c r="X76" s="164"/>
    </row>
    <row r="77" spans="1:24">
      <c r="A77" s="164"/>
      <c r="B77" s="93">
        <v>67</v>
      </c>
      <c r="C77" s="79">
        <v>6.8649999999999958</v>
      </c>
      <c r="D77" s="190">
        <v>7.3600000000000048</v>
      </c>
      <c r="E77" s="94">
        <v>0.23449999999999999</v>
      </c>
      <c r="F77" s="95">
        <v>0.34594487934450358</v>
      </c>
      <c r="G77" s="96">
        <f t="shared" si="6"/>
        <v>72.694999999999993</v>
      </c>
      <c r="H77" s="97">
        <f t="shared" si="7"/>
        <v>107.2429125967961</v>
      </c>
      <c r="I77" s="193"/>
      <c r="J77" s="98">
        <f t="shared" si="8"/>
        <v>643457.47558077669</v>
      </c>
      <c r="K77" s="164"/>
      <c r="L77" s="99">
        <v>0.34594487934450358</v>
      </c>
      <c r="M77" s="97">
        <f t="shared" si="9"/>
        <v>107.2429125967961</v>
      </c>
      <c r="N77" s="164"/>
      <c r="O77" s="80">
        <v>7.3600000000000048</v>
      </c>
      <c r="P77" s="100">
        <f t="shared" si="10"/>
        <v>107.2429125967961</v>
      </c>
      <c r="Q77" s="98">
        <f t="shared" si="11"/>
        <v>643457.47558077669</v>
      </c>
      <c r="R77" s="164"/>
      <c r="S77" s="164"/>
      <c r="T77" s="164"/>
      <c r="U77" s="164"/>
      <c r="V77" s="164"/>
      <c r="W77" s="164"/>
      <c r="X77" s="164"/>
    </row>
    <row r="78" spans="1:24">
      <c r="A78" s="164"/>
      <c r="B78" s="93">
        <v>68</v>
      </c>
      <c r="C78" s="79">
        <v>6.9599999999999955</v>
      </c>
      <c r="D78" s="190">
        <v>7.4400000000000048</v>
      </c>
      <c r="E78" s="94">
        <v>0.23799999999999999</v>
      </c>
      <c r="F78" s="95">
        <v>0.35726558976698491</v>
      </c>
      <c r="G78" s="96">
        <f t="shared" ref="G78:G110" si="12">IF(E78&lt;2.5%,0,$G$8*E78)</f>
        <v>73.78</v>
      </c>
      <c r="H78" s="97">
        <f t="shared" ref="H78:H110" si="13">IF(F78&lt;5%,0,$H$8*F78)</f>
        <v>110.75233282776533</v>
      </c>
      <c r="I78" s="193"/>
      <c r="J78" s="98">
        <f t="shared" ref="J78:J110" si="14">SUM(H78*$I$8)*500</f>
        <v>664513.99696659204</v>
      </c>
      <c r="K78" s="164"/>
      <c r="L78" s="99">
        <v>0.35726558976698491</v>
      </c>
      <c r="M78" s="97">
        <f t="shared" ref="M78:M110" si="15">H78</f>
        <v>110.75233282776533</v>
      </c>
      <c r="N78" s="164"/>
      <c r="O78" s="80">
        <v>7.4400000000000048</v>
      </c>
      <c r="P78" s="100">
        <f t="shared" ref="P78:P110" si="16">H78</f>
        <v>110.75233282776533</v>
      </c>
      <c r="Q78" s="98">
        <f t="shared" ref="Q78:Q110" si="17">SUM(H78*$I$8)*500</f>
        <v>664513.99696659204</v>
      </c>
      <c r="R78" s="164"/>
      <c r="S78" s="164"/>
      <c r="T78" s="164"/>
      <c r="U78" s="164"/>
      <c r="V78" s="164"/>
      <c r="W78" s="164"/>
      <c r="X78" s="164"/>
    </row>
    <row r="79" spans="1:24">
      <c r="A79" s="164"/>
      <c r="B79" s="93">
        <v>69</v>
      </c>
      <c r="C79" s="79">
        <v>7.0549999999999953</v>
      </c>
      <c r="D79" s="190">
        <v>7.5200000000000049</v>
      </c>
      <c r="E79" s="94">
        <v>0.24149999999999996</v>
      </c>
      <c r="F79" s="95">
        <v>0.36895675945081585</v>
      </c>
      <c r="G79" s="96">
        <f t="shared" si="12"/>
        <v>74.864999999999995</v>
      </c>
      <c r="H79" s="97">
        <f t="shared" si="13"/>
        <v>114.37659542975291</v>
      </c>
      <c r="I79" s="193"/>
      <c r="J79" s="98">
        <f t="shared" si="14"/>
        <v>686259.57257851749</v>
      </c>
      <c r="K79" s="164"/>
      <c r="L79" s="99">
        <v>0.36895675945081585</v>
      </c>
      <c r="M79" s="97">
        <f t="shared" si="15"/>
        <v>114.37659542975291</v>
      </c>
      <c r="N79" s="164"/>
      <c r="O79" s="80">
        <v>7.5200000000000049</v>
      </c>
      <c r="P79" s="100">
        <f t="shared" si="16"/>
        <v>114.37659542975291</v>
      </c>
      <c r="Q79" s="98">
        <f t="shared" si="17"/>
        <v>686259.57257851749</v>
      </c>
      <c r="R79" s="164"/>
      <c r="S79" s="164"/>
      <c r="T79" s="164"/>
      <c r="U79" s="164"/>
      <c r="V79" s="164"/>
      <c r="W79" s="164"/>
      <c r="X79" s="164"/>
    </row>
    <row r="80" spans="1:24">
      <c r="A80" s="164"/>
      <c r="B80" s="93">
        <v>70</v>
      </c>
      <c r="C80" s="79">
        <v>7.149999999999995</v>
      </c>
      <c r="D80" s="190">
        <v>7.600000000000005</v>
      </c>
      <c r="E80" s="94">
        <v>0.24499999999999997</v>
      </c>
      <c r="F80" s="95">
        <v>0.38103051131577803</v>
      </c>
      <c r="G80" s="96">
        <f t="shared" si="12"/>
        <v>75.949999999999989</v>
      </c>
      <c r="H80" s="97">
        <f t="shared" si="13"/>
        <v>118.1194585078912</v>
      </c>
      <c r="I80" s="193"/>
      <c r="J80" s="98">
        <f t="shared" si="14"/>
        <v>708716.75104734721</v>
      </c>
      <c r="K80" s="164"/>
      <c r="L80" s="99">
        <v>0.38103051131577803</v>
      </c>
      <c r="M80" s="97">
        <f t="shared" si="15"/>
        <v>118.1194585078912</v>
      </c>
      <c r="N80" s="164"/>
      <c r="O80" s="80">
        <v>7.600000000000005</v>
      </c>
      <c r="P80" s="100">
        <f t="shared" si="16"/>
        <v>118.1194585078912</v>
      </c>
      <c r="Q80" s="98">
        <f t="shared" si="17"/>
        <v>708716.75104734721</v>
      </c>
      <c r="R80" s="164"/>
      <c r="S80" s="164"/>
      <c r="T80" s="164"/>
      <c r="U80" s="164"/>
      <c r="V80" s="164"/>
      <c r="W80" s="164"/>
      <c r="X80" s="164"/>
    </row>
    <row r="81" spans="1:24">
      <c r="A81" s="164"/>
      <c r="B81" s="93">
        <v>71</v>
      </c>
      <c r="C81" s="79">
        <v>7.2449999999999948</v>
      </c>
      <c r="D81" s="190">
        <v>7.680000000000005</v>
      </c>
      <c r="E81" s="94">
        <v>0.24849999999999997</v>
      </c>
      <c r="F81" s="95">
        <v>0.3934993649924366</v>
      </c>
      <c r="G81" s="96">
        <f t="shared" si="12"/>
        <v>77.034999999999997</v>
      </c>
      <c r="H81" s="97">
        <f t="shared" si="13"/>
        <v>121.98480314765534</v>
      </c>
      <c r="I81" s="193"/>
      <c r="J81" s="98">
        <f t="shared" si="14"/>
        <v>731908.81888593209</v>
      </c>
      <c r="K81" s="164"/>
      <c r="L81" s="99">
        <v>0.3934993649924366</v>
      </c>
      <c r="M81" s="97">
        <f t="shared" si="15"/>
        <v>121.98480314765534</v>
      </c>
      <c r="N81" s="164"/>
      <c r="O81" s="80">
        <v>7.680000000000005</v>
      </c>
      <c r="P81" s="100">
        <f t="shared" si="16"/>
        <v>121.98480314765534</v>
      </c>
      <c r="Q81" s="98">
        <f t="shared" si="17"/>
        <v>731908.81888593209</v>
      </c>
      <c r="R81" s="164"/>
      <c r="S81" s="164"/>
      <c r="T81" s="164"/>
      <c r="U81" s="164"/>
      <c r="V81" s="164"/>
      <c r="W81" s="164"/>
      <c r="X81" s="164"/>
    </row>
    <row r="82" spans="1:24">
      <c r="A82" s="164"/>
      <c r="B82" s="93">
        <v>72</v>
      </c>
      <c r="C82" s="79">
        <v>7.3399999999999945</v>
      </c>
      <c r="D82" s="190">
        <v>7.7600000000000051</v>
      </c>
      <c r="E82" s="94">
        <v>0.252</v>
      </c>
      <c r="F82" s="95">
        <v>0.40637624980411652</v>
      </c>
      <c r="G82" s="96">
        <f t="shared" si="12"/>
        <v>78.12</v>
      </c>
      <c r="H82" s="97">
        <f t="shared" si="13"/>
        <v>125.97663743927612</v>
      </c>
      <c r="I82" s="193"/>
      <c r="J82" s="98">
        <f t="shared" si="14"/>
        <v>755859.82463565667</v>
      </c>
      <c r="K82" s="164"/>
      <c r="L82" s="99">
        <v>0.40637624980411652</v>
      </c>
      <c r="M82" s="97">
        <f t="shared" si="15"/>
        <v>125.97663743927612</v>
      </c>
      <c r="N82" s="164"/>
      <c r="O82" s="80">
        <v>7.7600000000000051</v>
      </c>
      <c r="P82" s="100">
        <f t="shared" si="16"/>
        <v>125.97663743927612</v>
      </c>
      <c r="Q82" s="98">
        <f t="shared" si="17"/>
        <v>755859.82463565667</v>
      </c>
      <c r="R82" s="164"/>
      <c r="S82" s="164"/>
      <c r="T82" s="164"/>
      <c r="U82" s="164"/>
      <c r="V82" s="164"/>
      <c r="W82" s="164"/>
      <c r="X82" s="164"/>
    </row>
    <row r="83" spans="1:24">
      <c r="A83" s="164"/>
      <c r="B83" s="93">
        <v>73</v>
      </c>
      <c r="C83" s="79">
        <v>7.4349999999999943</v>
      </c>
      <c r="D83" s="190">
        <v>7.8400000000000052</v>
      </c>
      <c r="E83" s="94">
        <v>0.2555</v>
      </c>
      <c r="F83" s="95">
        <v>0.4196745181737</v>
      </c>
      <c r="G83" s="96">
        <f t="shared" si="12"/>
        <v>79.204999999999998</v>
      </c>
      <c r="H83" s="97">
        <f t="shared" si="13"/>
        <v>130.099100633847</v>
      </c>
      <c r="I83" s="193"/>
      <c r="J83" s="98">
        <f t="shared" si="14"/>
        <v>780594.60380308202</v>
      </c>
      <c r="K83" s="164"/>
      <c r="L83" s="99">
        <v>0.4196745181737</v>
      </c>
      <c r="M83" s="97">
        <f t="shared" si="15"/>
        <v>130.099100633847</v>
      </c>
      <c r="N83" s="164"/>
      <c r="O83" s="80">
        <v>7.8400000000000052</v>
      </c>
      <c r="P83" s="100">
        <f t="shared" si="16"/>
        <v>130.099100633847</v>
      </c>
      <c r="Q83" s="98">
        <f t="shared" si="17"/>
        <v>780594.60380308202</v>
      </c>
      <c r="R83" s="164"/>
      <c r="S83" s="164"/>
      <c r="T83" s="164"/>
      <c r="U83" s="164"/>
      <c r="V83" s="164"/>
      <c r="W83" s="164"/>
      <c r="X83" s="164"/>
    </row>
    <row r="84" spans="1:24">
      <c r="A84" s="164"/>
      <c r="B84" s="93">
        <v>74</v>
      </c>
      <c r="C84" s="79">
        <v>7.529999999999994</v>
      </c>
      <c r="D84" s="190">
        <v>7.9200000000000053</v>
      </c>
      <c r="E84" s="94">
        <v>0.25900000000000001</v>
      </c>
      <c r="F84" s="95">
        <v>0.43340795946914873</v>
      </c>
      <c r="G84" s="96">
        <f t="shared" si="12"/>
        <v>80.290000000000006</v>
      </c>
      <c r="H84" s="97">
        <f t="shared" si="13"/>
        <v>134.35646743543612</v>
      </c>
      <c r="I84" s="193"/>
      <c r="J84" s="98">
        <f t="shared" si="14"/>
        <v>806138.80461261666</v>
      </c>
      <c r="K84" s="164"/>
      <c r="L84" s="99">
        <v>0.43340795946914873</v>
      </c>
      <c r="M84" s="97">
        <f t="shared" si="15"/>
        <v>134.35646743543612</v>
      </c>
      <c r="N84" s="164"/>
      <c r="O84" s="80">
        <v>7.9200000000000053</v>
      </c>
      <c r="P84" s="100">
        <f t="shared" si="16"/>
        <v>134.35646743543612</v>
      </c>
      <c r="Q84" s="98">
        <f t="shared" si="17"/>
        <v>806138.80461261666</v>
      </c>
      <c r="R84" s="164"/>
      <c r="S84" s="164"/>
      <c r="T84" s="164"/>
      <c r="U84" s="164"/>
      <c r="V84" s="164"/>
      <c r="W84" s="164"/>
      <c r="X84" s="164"/>
    </row>
    <row r="85" spans="1:24">
      <c r="A85" s="164"/>
      <c r="B85" s="93">
        <v>75</v>
      </c>
      <c r="C85" s="79">
        <v>7.6249999999999938</v>
      </c>
      <c r="D85" s="190">
        <v>8.0000000000000053</v>
      </c>
      <c r="E85" s="94">
        <v>0.26249999999999996</v>
      </c>
      <c r="F85" s="95">
        <v>0.44759081430210823</v>
      </c>
      <c r="G85" s="96">
        <f t="shared" si="12"/>
        <v>81.374999999999986</v>
      </c>
      <c r="H85" s="97">
        <f t="shared" si="13"/>
        <v>138.75315243365355</v>
      </c>
      <c r="I85" s="193"/>
      <c r="J85" s="98">
        <f t="shared" si="14"/>
        <v>832518.91460192134</v>
      </c>
      <c r="K85" s="164"/>
      <c r="L85" s="99">
        <v>0.44759081430210823</v>
      </c>
      <c r="M85" s="97">
        <f t="shared" si="15"/>
        <v>138.75315243365355</v>
      </c>
      <c r="N85" s="164"/>
      <c r="O85" s="80">
        <v>8.0000000000000053</v>
      </c>
      <c r="P85" s="100">
        <f t="shared" si="16"/>
        <v>138.75315243365355</v>
      </c>
      <c r="Q85" s="98">
        <f t="shared" si="17"/>
        <v>832518.91460192134</v>
      </c>
      <c r="R85" s="164"/>
      <c r="S85" s="164"/>
      <c r="T85" s="164"/>
      <c r="U85" s="164"/>
      <c r="V85" s="164"/>
      <c r="W85" s="164"/>
      <c r="X85" s="164"/>
    </row>
    <row r="86" spans="1:24">
      <c r="A86" s="164"/>
      <c r="B86" s="93">
        <v>76</v>
      </c>
      <c r="C86" s="79">
        <v>7.7199999999999935</v>
      </c>
      <c r="D86" s="190">
        <v>8.0800000000000054</v>
      </c>
      <c r="E86" s="94">
        <v>0.26599999999999996</v>
      </c>
      <c r="F86" s="95">
        <v>0.46223778929441872</v>
      </c>
      <c r="G86" s="96">
        <f t="shared" si="12"/>
        <v>82.46</v>
      </c>
      <c r="H86" s="97">
        <f t="shared" si="13"/>
        <v>143.29371468126979</v>
      </c>
      <c r="I86" s="193"/>
      <c r="J86" s="98">
        <f t="shared" si="14"/>
        <v>859762.28808761877</v>
      </c>
      <c r="K86" s="164"/>
      <c r="L86" s="99">
        <v>0.46223778929441872</v>
      </c>
      <c r="M86" s="97">
        <f t="shared" si="15"/>
        <v>143.29371468126979</v>
      </c>
      <c r="N86" s="164"/>
      <c r="O86" s="80">
        <v>8.0800000000000054</v>
      </c>
      <c r="P86" s="100">
        <f t="shared" si="16"/>
        <v>143.29371468126979</v>
      </c>
      <c r="Q86" s="98">
        <f t="shared" si="17"/>
        <v>859762.28808761877</v>
      </c>
      <c r="R86" s="164"/>
      <c r="S86" s="164"/>
      <c r="T86" s="164"/>
      <c r="U86" s="164"/>
      <c r="V86" s="164"/>
      <c r="W86" s="164"/>
      <c r="X86" s="164"/>
    </row>
    <row r="87" spans="1:24">
      <c r="A87" s="164"/>
      <c r="B87" s="93">
        <v>77</v>
      </c>
      <c r="C87" s="79">
        <v>7.8149999999999933</v>
      </c>
      <c r="D87" s="190">
        <v>8.1600000000000055</v>
      </c>
      <c r="E87" s="94">
        <v>0.26949999999999996</v>
      </c>
      <c r="F87" s="95">
        <v>0.47736407232784672</v>
      </c>
      <c r="G87" s="96">
        <f t="shared" si="12"/>
        <v>83.544999999999987</v>
      </c>
      <c r="H87" s="97">
        <f t="shared" si="13"/>
        <v>147.98286242163249</v>
      </c>
      <c r="I87" s="193"/>
      <c r="J87" s="98">
        <f t="shared" si="14"/>
        <v>887897.17452979495</v>
      </c>
      <c r="K87" s="164"/>
      <c r="L87" s="99">
        <v>0.47736407232784672</v>
      </c>
      <c r="M87" s="97">
        <f t="shared" si="15"/>
        <v>147.98286242163249</v>
      </c>
      <c r="N87" s="164"/>
      <c r="O87" s="80">
        <v>8.1600000000000055</v>
      </c>
      <c r="P87" s="100">
        <f t="shared" si="16"/>
        <v>147.98286242163249</v>
      </c>
      <c r="Q87" s="98">
        <f t="shared" si="17"/>
        <v>887897.17452979495</v>
      </c>
      <c r="R87" s="164"/>
      <c r="S87" s="164"/>
      <c r="T87" s="164"/>
      <c r="U87" s="164"/>
      <c r="V87" s="164"/>
      <c r="W87" s="164"/>
      <c r="X87" s="164"/>
    </row>
    <row r="88" spans="1:24">
      <c r="A88" s="164"/>
      <c r="B88" s="93">
        <v>78</v>
      </c>
      <c r="C88" s="79">
        <v>7.909999999999993</v>
      </c>
      <c r="D88" s="190">
        <v>8.2400000000000055</v>
      </c>
      <c r="E88" s="94">
        <v>0.27299999999999996</v>
      </c>
      <c r="F88" s="95">
        <v>0.49298534829284935</v>
      </c>
      <c r="G88" s="96">
        <f t="shared" si="12"/>
        <v>84.63</v>
      </c>
      <c r="H88" s="97">
        <f t="shared" si="13"/>
        <v>152.8254579707833</v>
      </c>
      <c r="I88" s="193"/>
      <c r="J88" s="98">
        <f t="shared" si="14"/>
        <v>916952.74782469985</v>
      </c>
      <c r="K88" s="164"/>
      <c r="L88" s="99">
        <v>0.49298534829284935</v>
      </c>
      <c r="M88" s="97">
        <f t="shared" si="15"/>
        <v>152.8254579707833</v>
      </c>
      <c r="N88" s="164"/>
      <c r="O88" s="80">
        <v>8.2400000000000055</v>
      </c>
      <c r="P88" s="100">
        <f t="shared" si="16"/>
        <v>152.8254579707833</v>
      </c>
      <c r="Q88" s="98">
        <f t="shared" si="17"/>
        <v>916952.74782469985</v>
      </c>
      <c r="R88" s="164"/>
      <c r="S88" s="164"/>
      <c r="T88" s="164"/>
      <c r="U88" s="164"/>
      <c r="V88" s="164"/>
      <c r="W88" s="164"/>
      <c r="X88" s="164"/>
    </row>
    <row r="89" spans="1:24">
      <c r="A89" s="164"/>
      <c r="B89" s="93">
        <v>79</v>
      </c>
      <c r="C89" s="79">
        <v>8.0049999999999937</v>
      </c>
      <c r="D89" s="190">
        <v>8.3200000000000056</v>
      </c>
      <c r="E89" s="94">
        <v>0.27649999999999997</v>
      </c>
      <c r="F89" s="95">
        <v>0.50911781535270073</v>
      </c>
      <c r="G89" s="96">
        <f t="shared" si="12"/>
        <v>85.714999999999989</v>
      </c>
      <c r="H89" s="97">
        <f t="shared" si="13"/>
        <v>157.82652275933722</v>
      </c>
      <c r="I89" s="193"/>
      <c r="J89" s="98">
        <f t="shared" si="14"/>
        <v>946959.13655602338</v>
      </c>
      <c r="K89" s="164"/>
      <c r="L89" s="99">
        <v>0.50911781535270073</v>
      </c>
      <c r="M89" s="97">
        <f t="shared" si="15"/>
        <v>157.82652275933722</v>
      </c>
      <c r="N89" s="164"/>
      <c r="O89" s="80">
        <v>8.3200000000000056</v>
      </c>
      <c r="P89" s="100">
        <f t="shared" si="16"/>
        <v>157.82652275933722</v>
      </c>
      <c r="Q89" s="98">
        <f t="shared" si="17"/>
        <v>946959.13655602338</v>
      </c>
      <c r="R89" s="164"/>
      <c r="S89" s="164"/>
      <c r="T89" s="164"/>
      <c r="U89" s="164"/>
      <c r="V89" s="164"/>
      <c r="W89" s="164"/>
      <c r="X89" s="164"/>
    </row>
    <row r="90" spans="1:24">
      <c r="A90" s="164"/>
      <c r="B90" s="93">
        <v>80</v>
      </c>
      <c r="C90" s="79">
        <v>8.0999999999999943</v>
      </c>
      <c r="D90" s="190">
        <v>8.4000000000000057</v>
      </c>
      <c r="E90" s="94">
        <v>0.27999999999999997</v>
      </c>
      <c r="F90" s="95">
        <v>0.52577820173984757</v>
      </c>
      <c r="G90" s="96">
        <f t="shared" si="12"/>
        <v>86.8</v>
      </c>
      <c r="H90" s="97">
        <f t="shared" si="13"/>
        <v>162.99124253935275</v>
      </c>
      <c r="I90" s="193"/>
      <c r="J90" s="98">
        <f t="shared" si="14"/>
        <v>977947.45523611654</v>
      </c>
      <c r="K90" s="164"/>
      <c r="L90" s="99">
        <v>0.52577820173984757</v>
      </c>
      <c r="M90" s="97">
        <f t="shared" si="15"/>
        <v>162.99124253935275</v>
      </c>
      <c r="N90" s="164"/>
      <c r="O90" s="80">
        <v>8.4000000000000057</v>
      </c>
      <c r="P90" s="100">
        <f t="shared" si="16"/>
        <v>162.99124253935275</v>
      </c>
      <c r="Q90" s="98">
        <f t="shared" si="17"/>
        <v>977947.45523611654</v>
      </c>
      <c r="R90" s="164"/>
      <c r="S90" s="164"/>
      <c r="T90" s="164"/>
      <c r="U90" s="164"/>
      <c r="V90" s="164"/>
      <c r="W90" s="164"/>
      <c r="X90" s="164"/>
    </row>
    <row r="91" spans="1:24">
      <c r="A91" s="164"/>
      <c r="B91" s="93">
        <v>81</v>
      </c>
      <c r="C91" s="79">
        <v>8.194999999999995</v>
      </c>
      <c r="D91" s="190">
        <v>8.4800000000000058</v>
      </c>
      <c r="E91" s="94">
        <v>0.28349999999999997</v>
      </c>
      <c r="F91" s="95">
        <v>0.54298378310190742</v>
      </c>
      <c r="G91" s="96">
        <f t="shared" si="12"/>
        <v>87.884999999999991</v>
      </c>
      <c r="H91" s="97">
        <f t="shared" si="13"/>
        <v>168.32497276159131</v>
      </c>
      <c r="I91" s="193"/>
      <c r="J91" s="98">
        <f t="shared" si="14"/>
        <v>1009949.8365695479</v>
      </c>
      <c r="K91" s="164"/>
      <c r="L91" s="99">
        <v>0.54298378310190742</v>
      </c>
      <c r="M91" s="97">
        <f t="shared" si="15"/>
        <v>168.32497276159131</v>
      </c>
      <c r="N91" s="164"/>
      <c r="O91" s="80">
        <v>8.4800000000000058</v>
      </c>
      <c r="P91" s="100">
        <f t="shared" si="16"/>
        <v>168.32497276159131</v>
      </c>
      <c r="Q91" s="98">
        <f t="shared" si="17"/>
        <v>1009949.8365695479</v>
      </c>
      <c r="R91" s="164"/>
      <c r="S91" s="164"/>
      <c r="T91" s="164"/>
      <c r="U91" s="164"/>
      <c r="V91" s="164"/>
      <c r="W91" s="164"/>
      <c r="X91" s="164"/>
    </row>
    <row r="92" spans="1:24">
      <c r="A92" s="164"/>
      <c r="B92" s="93">
        <v>82</v>
      </c>
      <c r="C92" s="79">
        <v>8.2899999999999956</v>
      </c>
      <c r="D92" s="190">
        <v>8.5600000000000058</v>
      </c>
      <c r="E92" s="94">
        <v>0.28699999999999998</v>
      </c>
      <c r="F92" s="95">
        <v>0.5607524004152995</v>
      </c>
      <c r="G92" s="96">
        <f t="shared" si="12"/>
        <v>88.97</v>
      </c>
      <c r="H92" s="97">
        <f t="shared" si="13"/>
        <v>173.83324412874285</v>
      </c>
      <c r="I92" s="193"/>
      <c r="J92" s="98">
        <f t="shared" si="14"/>
        <v>1042999.464772457</v>
      </c>
      <c r="K92" s="164"/>
      <c r="L92" s="99">
        <v>0.5607524004152995</v>
      </c>
      <c r="M92" s="97">
        <f t="shared" si="15"/>
        <v>173.83324412874285</v>
      </c>
      <c r="N92" s="164"/>
      <c r="O92" s="80">
        <v>8.5600000000000058</v>
      </c>
      <c r="P92" s="100">
        <f t="shared" si="16"/>
        <v>173.83324412874285</v>
      </c>
      <c r="Q92" s="98">
        <f t="shared" si="17"/>
        <v>1042999.464772457</v>
      </c>
      <c r="R92" s="164"/>
      <c r="S92" s="164"/>
      <c r="T92" s="164"/>
      <c r="U92" s="164"/>
      <c r="V92" s="164"/>
      <c r="W92" s="164"/>
      <c r="X92" s="164"/>
    </row>
    <row r="93" spans="1:24">
      <c r="A93" s="164"/>
      <c r="B93" s="93">
        <v>83</v>
      </c>
      <c r="C93" s="79">
        <v>8.3849999999999962</v>
      </c>
      <c r="D93" s="190">
        <v>8.6400000000000059</v>
      </c>
      <c r="E93" s="94">
        <v>0.29049999999999998</v>
      </c>
      <c r="F93" s="95">
        <v>0.57910247848508134</v>
      </c>
      <c r="G93" s="96">
        <f t="shared" si="12"/>
        <v>90.054999999999993</v>
      </c>
      <c r="H93" s="97">
        <f t="shared" si="13"/>
        <v>179.52176833037521</v>
      </c>
      <c r="I93" s="193"/>
      <c r="J93" s="98">
        <f t="shared" si="14"/>
        <v>1077130.6099822514</v>
      </c>
      <c r="K93" s="164"/>
      <c r="L93" s="99">
        <v>0.57910247848508134</v>
      </c>
      <c r="M93" s="97">
        <f t="shared" si="15"/>
        <v>179.52176833037521</v>
      </c>
      <c r="N93" s="164"/>
      <c r="O93" s="80">
        <v>8.6400000000000059</v>
      </c>
      <c r="P93" s="100">
        <f t="shared" si="16"/>
        <v>179.52176833037521</v>
      </c>
      <c r="Q93" s="98">
        <f t="shared" si="17"/>
        <v>1077130.6099822514</v>
      </c>
      <c r="R93" s="164"/>
      <c r="S93" s="164"/>
      <c r="T93" s="164"/>
      <c r="U93" s="164"/>
      <c r="V93" s="164"/>
      <c r="W93" s="164"/>
      <c r="X93" s="164"/>
    </row>
    <row r="94" spans="1:24">
      <c r="A94" s="164"/>
      <c r="B94" s="93">
        <v>84</v>
      </c>
      <c r="C94" s="79">
        <v>8.4799999999999969</v>
      </c>
      <c r="D94" s="190">
        <v>8.720000000000006</v>
      </c>
      <c r="E94" s="94">
        <v>0.29399999999999998</v>
      </c>
      <c r="F94" s="95">
        <v>0.59805304505017365</v>
      </c>
      <c r="G94" s="96">
        <f t="shared" si="12"/>
        <v>91.14</v>
      </c>
      <c r="H94" s="97">
        <f t="shared" si="13"/>
        <v>185.39644396555383</v>
      </c>
      <c r="I94" s="193"/>
      <c r="J94" s="98">
        <f t="shared" si="14"/>
        <v>1112378.6637933231</v>
      </c>
      <c r="K94" s="164"/>
      <c r="L94" s="99">
        <v>0.59805304505017365</v>
      </c>
      <c r="M94" s="97">
        <f t="shared" si="15"/>
        <v>185.39644396555383</v>
      </c>
      <c r="N94" s="164"/>
      <c r="O94" s="80">
        <v>8.720000000000006</v>
      </c>
      <c r="P94" s="100">
        <f t="shared" si="16"/>
        <v>185.39644396555383</v>
      </c>
      <c r="Q94" s="98">
        <f t="shared" si="17"/>
        <v>1112378.6637933231</v>
      </c>
      <c r="R94" s="164"/>
      <c r="S94" s="164"/>
      <c r="T94" s="164"/>
      <c r="U94" s="164"/>
      <c r="V94" s="164"/>
      <c r="W94" s="164"/>
      <c r="X94" s="164"/>
    </row>
    <row r="95" spans="1:24">
      <c r="A95" s="164"/>
      <c r="B95" s="93">
        <v>85</v>
      </c>
      <c r="C95" s="79">
        <v>8.5749999999999975</v>
      </c>
      <c r="D95" s="190">
        <v>8.800000000000006</v>
      </c>
      <c r="E95" s="94">
        <v>0.29749999999999999</v>
      </c>
      <c r="F95" s="95">
        <v>0.61762375051378615</v>
      </c>
      <c r="G95" s="96">
        <f t="shared" si="12"/>
        <v>92.224999999999994</v>
      </c>
      <c r="H95" s="97">
        <f t="shared" si="13"/>
        <v>191.46336265927371</v>
      </c>
      <c r="I95" s="193"/>
      <c r="J95" s="98">
        <f t="shared" si="14"/>
        <v>1148780.1759556422</v>
      </c>
      <c r="K95" s="164"/>
      <c r="L95" s="99">
        <v>0.61762375051378615</v>
      </c>
      <c r="M95" s="97">
        <f t="shared" si="15"/>
        <v>191.46336265927371</v>
      </c>
      <c r="N95" s="164"/>
      <c r="O95" s="80">
        <v>8.800000000000006</v>
      </c>
      <c r="P95" s="100">
        <f t="shared" si="16"/>
        <v>191.46336265927371</v>
      </c>
      <c r="Q95" s="98">
        <f t="shared" si="17"/>
        <v>1148780.1759556422</v>
      </c>
      <c r="R95" s="164"/>
      <c r="S95" s="164"/>
      <c r="T95" s="164"/>
      <c r="U95" s="164"/>
      <c r="V95" s="164"/>
      <c r="W95" s="164"/>
      <c r="X95" s="164"/>
    </row>
    <row r="96" spans="1:24">
      <c r="A96" s="164"/>
      <c r="B96" s="93">
        <v>86</v>
      </c>
      <c r="C96" s="79">
        <v>8.6699999999999982</v>
      </c>
      <c r="D96" s="190">
        <v>8.8800000000000061</v>
      </c>
      <c r="E96" s="94">
        <v>0.30099999999999999</v>
      </c>
      <c r="F96" s="95">
        <v>0.63783488831950186</v>
      </c>
      <c r="G96" s="96">
        <f t="shared" si="12"/>
        <v>93.31</v>
      </c>
      <c r="H96" s="97">
        <f t="shared" si="13"/>
        <v>197.72881537904559</v>
      </c>
      <c r="I96" s="193"/>
      <c r="J96" s="98">
        <f t="shared" si="14"/>
        <v>1186372.8922742736</v>
      </c>
      <c r="K96" s="164"/>
      <c r="L96" s="99">
        <v>0.63783488831950186</v>
      </c>
      <c r="M96" s="97">
        <f t="shared" si="15"/>
        <v>197.72881537904559</v>
      </c>
      <c r="N96" s="164"/>
      <c r="O96" s="80">
        <v>8.8800000000000061</v>
      </c>
      <c r="P96" s="100">
        <f t="shared" si="16"/>
        <v>197.72881537904559</v>
      </c>
      <c r="Q96" s="98">
        <f t="shared" si="17"/>
        <v>1186372.8922742736</v>
      </c>
      <c r="R96" s="164"/>
      <c r="S96" s="164"/>
      <c r="T96" s="164"/>
      <c r="U96" s="164"/>
      <c r="V96" s="164"/>
      <c r="W96" s="164"/>
      <c r="X96" s="164"/>
    </row>
    <row r="97" spans="1:24">
      <c r="A97" s="164"/>
      <c r="B97" s="93">
        <v>87</v>
      </c>
      <c r="C97" s="79">
        <v>8.7649999999999988</v>
      </c>
      <c r="D97" s="190">
        <v>8.9600000000000062</v>
      </c>
      <c r="E97" s="94">
        <v>0.30449999999999999</v>
      </c>
      <c r="F97" s="95">
        <v>0.65870741599414973</v>
      </c>
      <c r="G97" s="96">
        <f t="shared" si="12"/>
        <v>94.394999999999996</v>
      </c>
      <c r="H97" s="97">
        <f t="shared" si="13"/>
        <v>204.1992989581864</v>
      </c>
      <c r="I97" s="193"/>
      <c r="J97" s="98">
        <f t="shared" si="14"/>
        <v>1225195.7937491185</v>
      </c>
      <c r="K97" s="164"/>
      <c r="L97" s="99">
        <v>0.65870741599414973</v>
      </c>
      <c r="M97" s="97">
        <f t="shared" si="15"/>
        <v>204.1992989581864</v>
      </c>
      <c r="N97" s="164"/>
      <c r="O97" s="80">
        <v>8.9600000000000062</v>
      </c>
      <c r="P97" s="100">
        <f t="shared" si="16"/>
        <v>204.1992989581864</v>
      </c>
      <c r="Q97" s="98">
        <f t="shared" si="17"/>
        <v>1225195.7937491185</v>
      </c>
      <c r="R97" s="164"/>
      <c r="S97" s="164"/>
      <c r="T97" s="164"/>
      <c r="U97" s="164"/>
      <c r="V97" s="164"/>
      <c r="W97" s="164"/>
      <c r="X97" s="164"/>
    </row>
    <row r="98" spans="1:24">
      <c r="A98" s="164"/>
      <c r="B98" s="93">
        <v>88</v>
      </c>
      <c r="C98" s="79">
        <v>8.86</v>
      </c>
      <c r="D98" s="190">
        <v>9.0400000000000063</v>
      </c>
      <c r="E98" s="94">
        <v>0.308</v>
      </c>
      <c r="F98" s="95">
        <v>0.68026297687928361</v>
      </c>
      <c r="G98" s="96">
        <f t="shared" si="12"/>
        <v>95.48</v>
      </c>
      <c r="H98" s="97">
        <f t="shared" si="13"/>
        <v>210.88152283257793</v>
      </c>
      <c r="I98" s="193"/>
      <c r="J98" s="98">
        <f t="shared" si="14"/>
        <v>1265289.1369954676</v>
      </c>
      <c r="K98" s="164"/>
      <c r="L98" s="99">
        <v>0.68026297687928361</v>
      </c>
      <c r="M98" s="97">
        <f t="shared" si="15"/>
        <v>210.88152283257793</v>
      </c>
      <c r="N98" s="164"/>
      <c r="O98" s="80">
        <v>9.0400000000000063</v>
      </c>
      <c r="P98" s="100">
        <f t="shared" si="16"/>
        <v>210.88152283257793</v>
      </c>
      <c r="Q98" s="98">
        <f t="shared" si="17"/>
        <v>1265289.1369954676</v>
      </c>
      <c r="R98" s="164"/>
      <c r="S98" s="164"/>
      <c r="T98" s="164"/>
      <c r="U98" s="164"/>
      <c r="V98" s="164"/>
      <c r="W98" s="164"/>
      <c r="X98" s="164"/>
    </row>
    <row r="99" spans="1:24">
      <c r="A99" s="164"/>
      <c r="B99" s="93">
        <v>89</v>
      </c>
      <c r="C99" s="79">
        <v>8.9550000000000001</v>
      </c>
      <c r="D99" s="190">
        <v>9.1200000000000063</v>
      </c>
      <c r="E99" s="94">
        <v>0.3115</v>
      </c>
      <c r="F99" s="95">
        <v>0.70252392257380425</v>
      </c>
      <c r="G99" s="96">
        <f t="shared" si="12"/>
        <v>96.564999999999998</v>
      </c>
      <c r="H99" s="97">
        <f t="shared" si="13"/>
        <v>217.78241599787933</v>
      </c>
      <c r="I99" s="193"/>
      <c r="J99" s="98">
        <f t="shared" si="14"/>
        <v>1306694.4959872761</v>
      </c>
      <c r="K99" s="164"/>
      <c r="L99" s="99">
        <v>0.70252392257380425</v>
      </c>
      <c r="M99" s="97">
        <f t="shared" si="15"/>
        <v>217.78241599787933</v>
      </c>
      <c r="N99" s="164"/>
      <c r="O99" s="80">
        <v>9.1200000000000063</v>
      </c>
      <c r="P99" s="100">
        <f t="shared" si="16"/>
        <v>217.78241599787933</v>
      </c>
      <c r="Q99" s="98">
        <f t="shared" si="17"/>
        <v>1306694.4959872761</v>
      </c>
      <c r="R99" s="164"/>
      <c r="S99" s="164"/>
      <c r="T99" s="164"/>
      <c r="U99" s="164"/>
      <c r="V99" s="164"/>
      <c r="W99" s="164"/>
      <c r="X99" s="164"/>
    </row>
    <row r="100" spans="1:24">
      <c r="A100" s="164"/>
      <c r="B100" s="93">
        <v>90</v>
      </c>
      <c r="C100" s="79">
        <v>9.0500000000000007</v>
      </c>
      <c r="D100" s="190">
        <v>9.2000000000000064</v>
      </c>
      <c r="E100" s="94">
        <v>0.315</v>
      </c>
      <c r="F100" s="95">
        <v>0.72551333611099345</v>
      </c>
      <c r="G100" s="96">
        <f t="shared" si="12"/>
        <v>97.65</v>
      </c>
      <c r="H100" s="97">
        <f t="shared" si="13"/>
        <v>224.90913419440795</v>
      </c>
      <c r="I100" s="193"/>
      <c r="J100" s="98">
        <f t="shared" si="14"/>
        <v>1349454.8051664478</v>
      </c>
      <c r="K100" s="164"/>
      <c r="L100" s="99">
        <v>0.72551333611099345</v>
      </c>
      <c r="M100" s="97">
        <f t="shared" si="15"/>
        <v>224.90913419440795</v>
      </c>
      <c r="N100" s="164"/>
      <c r="O100" s="80">
        <v>9.2000000000000064</v>
      </c>
      <c r="P100" s="100">
        <f t="shared" si="16"/>
        <v>224.90913419440795</v>
      </c>
      <c r="Q100" s="98">
        <f t="shared" si="17"/>
        <v>1349454.8051664478</v>
      </c>
      <c r="R100" s="164"/>
      <c r="S100" s="164"/>
      <c r="T100" s="164"/>
      <c r="U100" s="164"/>
      <c r="V100" s="164"/>
      <c r="W100" s="164"/>
      <c r="X100" s="164"/>
    </row>
    <row r="101" spans="1:24">
      <c r="A101" s="164"/>
      <c r="B101" s="93">
        <v>91</v>
      </c>
      <c r="C101" s="79">
        <v>9.1450000000000014</v>
      </c>
      <c r="D101" s="190">
        <v>9.2800000000000065</v>
      </c>
      <c r="E101" s="94">
        <v>0.31850000000000001</v>
      </c>
      <c r="F101" s="95">
        <v>0.74925505589399333</v>
      </c>
      <c r="G101" s="96">
        <f t="shared" si="12"/>
        <v>98.734999999999999</v>
      </c>
      <c r="H101" s="97">
        <f t="shared" si="13"/>
        <v>232.26906732713792</v>
      </c>
      <c r="I101" s="193"/>
      <c r="J101" s="98">
        <f t="shared" si="14"/>
        <v>1393614.4039628275</v>
      </c>
      <c r="K101" s="164"/>
      <c r="L101" s="99">
        <v>0.74925505589399333</v>
      </c>
      <c r="M101" s="97">
        <f t="shared" si="15"/>
        <v>232.26906732713792</v>
      </c>
      <c r="N101" s="164"/>
      <c r="O101" s="80">
        <v>9.2800000000000065</v>
      </c>
      <c r="P101" s="100">
        <f t="shared" si="16"/>
        <v>232.26906732713792</v>
      </c>
      <c r="Q101" s="98">
        <f t="shared" si="17"/>
        <v>1393614.4039628275</v>
      </c>
      <c r="R101" s="164"/>
      <c r="S101" s="164"/>
      <c r="T101" s="164"/>
      <c r="U101" s="164"/>
      <c r="V101" s="164"/>
      <c r="W101" s="164"/>
      <c r="X101" s="164"/>
    </row>
    <row r="102" spans="1:24">
      <c r="A102" s="164"/>
      <c r="B102" s="93">
        <v>92</v>
      </c>
      <c r="C102" s="79">
        <v>9.240000000000002</v>
      </c>
      <c r="D102" s="190">
        <v>9.3600000000000065</v>
      </c>
      <c r="E102" s="94">
        <v>0.32200000000000001</v>
      </c>
      <c r="F102" s="95">
        <v>0.77377370041455362</v>
      </c>
      <c r="G102" s="96">
        <f t="shared" si="12"/>
        <v>99.820000000000007</v>
      </c>
      <c r="H102" s="97">
        <f t="shared" si="13"/>
        <v>239.86984712851162</v>
      </c>
      <c r="I102" s="193"/>
      <c r="J102" s="98">
        <f t="shared" si="14"/>
        <v>1439219.0827710696</v>
      </c>
      <c r="K102" s="164"/>
      <c r="L102" s="99">
        <v>0.77377370041455362</v>
      </c>
      <c r="M102" s="97">
        <f t="shared" si="15"/>
        <v>239.86984712851162</v>
      </c>
      <c r="N102" s="164"/>
      <c r="O102" s="80">
        <v>9.3600000000000065</v>
      </c>
      <c r="P102" s="100">
        <f t="shared" si="16"/>
        <v>239.86984712851162</v>
      </c>
      <c r="Q102" s="98">
        <f t="shared" si="17"/>
        <v>1439219.0827710696</v>
      </c>
      <c r="R102" s="164"/>
      <c r="S102" s="164"/>
      <c r="T102" s="164"/>
      <c r="U102" s="164"/>
      <c r="V102" s="164"/>
      <c r="W102" s="164"/>
      <c r="X102" s="164"/>
    </row>
    <row r="103" spans="1:24">
      <c r="A103" s="164"/>
      <c r="B103" s="93">
        <v>93</v>
      </c>
      <c r="C103" s="79">
        <v>9.3350000000000026</v>
      </c>
      <c r="D103" s="190">
        <v>9.4400000000000066</v>
      </c>
      <c r="E103" s="94">
        <v>0.32550000000000001</v>
      </c>
      <c r="F103" s="95">
        <v>0.79909469378067277</v>
      </c>
      <c r="G103" s="96">
        <f t="shared" si="12"/>
        <v>100.905</v>
      </c>
      <c r="H103" s="97">
        <f t="shared" si="13"/>
        <v>247.71935507200857</v>
      </c>
      <c r="I103" s="193"/>
      <c r="J103" s="98">
        <f t="shared" si="14"/>
        <v>1486316.1304320516</v>
      </c>
      <c r="K103" s="164"/>
      <c r="L103" s="99">
        <v>0.79909469378067277</v>
      </c>
      <c r="M103" s="97">
        <f t="shared" si="15"/>
        <v>247.71935507200857</v>
      </c>
      <c r="N103" s="164"/>
      <c r="O103" s="80">
        <v>9.4400000000000066</v>
      </c>
      <c r="P103" s="100">
        <f t="shared" si="16"/>
        <v>247.71935507200857</v>
      </c>
      <c r="Q103" s="98">
        <f t="shared" si="17"/>
        <v>1486316.1304320516</v>
      </c>
      <c r="R103" s="164"/>
      <c r="S103" s="164"/>
      <c r="T103" s="164"/>
      <c r="U103" s="164"/>
      <c r="V103" s="164"/>
      <c r="W103" s="164"/>
      <c r="X103" s="164"/>
    </row>
    <row r="104" spans="1:24">
      <c r="A104" s="164"/>
      <c r="B104" s="93">
        <v>94</v>
      </c>
      <c r="C104" s="79">
        <v>9.4300000000000033</v>
      </c>
      <c r="D104" s="190">
        <v>9.5200000000000067</v>
      </c>
      <c r="E104" s="94">
        <v>0.32899999999999996</v>
      </c>
      <c r="F104" s="95">
        <v>0.82524429207960814</v>
      </c>
      <c r="G104" s="96">
        <f t="shared" si="12"/>
        <v>101.98999999999998</v>
      </c>
      <c r="H104" s="97">
        <f t="shared" si="13"/>
        <v>255.82573054467852</v>
      </c>
      <c r="I104" s="193"/>
      <c r="J104" s="98">
        <f t="shared" si="14"/>
        <v>1534954.3832680711</v>
      </c>
      <c r="K104" s="164"/>
      <c r="L104" s="99">
        <v>0.82524429207960814</v>
      </c>
      <c r="M104" s="97">
        <f t="shared" si="15"/>
        <v>255.82573054467852</v>
      </c>
      <c r="N104" s="164"/>
      <c r="O104" s="80">
        <v>9.5200000000000067</v>
      </c>
      <c r="P104" s="100">
        <f t="shared" si="16"/>
        <v>255.82573054467852</v>
      </c>
      <c r="Q104" s="98">
        <f t="shared" si="17"/>
        <v>1534954.3832680711</v>
      </c>
      <c r="R104" s="164"/>
      <c r="S104" s="164"/>
      <c r="T104" s="164"/>
      <c r="U104" s="164"/>
      <c r="V104" s="164"/>
      <c r="W104" s="164"/>
      <c r="X104" s="164"/>
    </row>
    <row r="105" spans="1:24">
      <c r="A105" s="164"/>
      <c r="B105" s="93">
        <v>95</v>
      </c>
      <c r="C105" s="79">
        <v>9.5250000000000039</v>
      </c>
      <c r="D105" s="190">
        <v>9.6000000000000068</v>
      </c>
      <c r="E105" s="94">
        <v>0.33249999999999996</v>
      </c>
      <c r="F105" s="95">
        <v>0.85224961060359028</v>
      </c>
      <c r="G105" s="96">
        <f t="shared" si="12"/>
        <v>103.07499999999999</v>
      </c>
      <c r="H105" s="97">
        <f t="shared" si="13"/>
        <v>264.19737928711299</v>
      </c>
      <c r="I105" s="193"/>
      <c r="J105" s="98">
        <f t="shared" si="14"/>
        <v>1585184.2757226781</v>
      </c>
      <c r="K105" s="164"/>
      <c r="L105" s="99">
        <v>0.85224961060359028</v>
      </c>
      <c r="M105" s="97">
        <f t="shared" si="15"/>
        <v>264.19737928711299</v>
      </c>
      <c r="N105" s="164"/>
      <c r="O105" s="80">
        <v>9.6000000000000068</v>
      </c>
      <c r="P105" s="100">
        <f t="shared" si="16"/>
        <v>264.19737928711299</v>
      </c>
      <c r="Q105" s="98">
        <f t="shared" si="17"/>
        <v>1585184.2757226781</v>
      </c>
      <c r="R105" s="164"/>
      <c r="S105" s="164"/>
      <c r="T105" s="164"/>
      <c r="U105" s="164"/>
      <c r="V105" s="164"/>
      <c r="W105" s="164"/>
      <c r="X105" s="164"/>
    </row>
    <row r="106" spans="1:24">
      <c r="A106" s="164"/>
      <c r="B106" s="93">
        <v>96</v>
      </c>
      <c r="C106" s="79">
        <v>9.6200000000000045</v>
      </c>
      <c r="D106" s="190">
        <v>9.6800000000000068</v>
      </c>
      <c r="E106" s="94">
        <v>0.33599999999999997</v>
      </c>
      <c r="F106" s="95">
        <v>0.88013865196647134</v>
      </c>
      <c r="G106" s="96">
        <f t="shared" si="12"/>
        <v>104.15999999999998</v>
      </c>
      <c r="H106" s="97">
        <f t="shared" si="13"/>
        <v>272.84298210960611</v>
      </c>
      <c r="I106" s="193"/>
      <c r="J106" s="98">
        <f t="shared" si="14"/>
        <v>1637057.8926576369</v>
      </c>
      <c r="K106" s="164"/>
      <c r="L106" s="99">
        <v>0.88013865196647134</v>
      </c>
      <c r="M106" s="97">
        <f t="shared" si="15"/>
        <v>272.84298210960611</v>
      </c>
      <c r="N106" s="164"/>
      <c r="O106" s="80">
        <v>9.6800000000000068</v>
      </c>
      <c r="P106" s="100">
        <f t="shared" si="16"/>
        <v>272.84298210960611</v>
      </c>
      <c r="Q106" s="98">
        <f t="shared" si="17"/>
        <v>1637057.8926576369</v>
      </c>
      <c r="R106" s="164"/>
      <c r="S106" s="164"/>
      <c r="T106" s="164"/>
      <c r="U106" s="164"/>
      <c r="V106" s="164"/>
      <c r="W106" s="164"/>
      <c r="X106" s="164"/>
    </row>
    <row r="107" spans="1:24">
      <c r="A107" s="164"/>
      <c r="B107" s="93">
        <v>97</v>
      </c>
      <c r="C107" s="79">
        <v>9.7150000000000052</v>
      </c>
      <c r="D107" s="190">
        <v>9.7600000000000069</v>
      </c>
      <c r="E107" s="94">
        <v>0.33949999999999997</v>
      </c>
      <c r="F107" s="95">
        <v>0.90894033514046402</v>
      </c>
      <c r="G107" s="96">
        <f t="shared" si="12"/>
        <v>105.24499999999999</v>
      </c>
      <c r="H107" s="97">
        <f t="shared" si="13"/>
        <v>281.77150389354387</v>
      </c>
      <c r="I107" s="193"/>
      <c r="J107" s="98">
        <f t="shared" si="14"/>
        <v>1690629.0233612631</v>
      </c>
      <c r="K107" s="164"/>
      <c r="L107" s="99">
        <v>0.90894033514046402</v>
      </c>
      <c r="M107" s="97">
        <f t="shared" si="15"/>
        <v>281.77150389354387</v>
      </c>
      <c r="N107" s="164"/>
      <c r="O107" s="80">
        <v>9.7600000000000069</v>
      </c>
      <c r="P107" s="100">
        <f t="shared" si="16"/>
        <v>281.77150389354387</v>
      </c>
      <c r="Q107" s="98">
        <f t="shared" si="17"/>
        <v>1690629.0233612631</v>
      </c>
      <c r="R107" s="164"/>
      <c r="S107" s="164"/>
      <c r="T107" s="164"/>
      <c r="U107" s="164"/>
      <c r="V107" s="164"/>
      <c r="W107" s="164"/>
      <c r="X107" s="164"/>
    </row>
    <row r="108" spans="1:24">
      <c r="A108" s="164"/>
      <c r="B108" s="93">
        <v>98</v>
      </c>
      <c r="C108" s="79">
        <v>9.8100000000000058</v>
      </c>
      <c r="D108" s="190">
        <v>9.840000000000007</v>
      </c>
      <c r="E108" s="94">
        <v>0.34299999999999997</v>
      </c>
      <c r="F108" s="95">
        <v>0.9386845254430799</v>
      </c>
      <c r="G108" s="96">
        <f t="shared" si="12"/>
        <v>106.32999999999998</v>
      </c>
      <c r="H108" s="97">
        <f t="shared" si="13"/>
        <v>290.99220288735478</v>
      </c>
      <c r="I108" s="193"/>
      <c r="J108" s="98">
        <f t="shared" si="14"/>
        <v>1745953.2173241286</v>
      </c>
      <c r="K108" s="164"/>
      <c r="L108" s="99">
        <v>0.9386845254430799</v>
      </c>
      <c r="M108" s="97">
        <f t="shared" si="15"/>
        <v>290.99220288735478</v>
      </c>
      <c r="N108" s="164"/>
      <c r="O108" s="80">
        <v>9.840000000000007</v>
      </c>
      <c r="P108" s="100">
        <f t="shared" si="16"/>
        <v>290.99220288735478</v>
      </c>
      <c r="Q108" s="98">
        <f t="shared" si="17"/>
        <v>1745953.2173241286</v>
      </c>
      <c r="R108" s="164"/>
      <c r="S108" s="164"/>
      <c r="T108" s="164"/>
      <c r="U108" s="164"/>
      <c r="V108" s="164"/>
      <c r="W108" s="164"/>
      <c r="X108" s="164"/>
    </row>
    <row r="109" spans="1:24">
      <c r="A109" s="164"/>
      <c r="B109" s="93">
        <v>99</v>
      </c>
      <c r="C109" s="79">
        <v>9.9050000000000065</v>
      </c>
      <c r="D109" s="190">
        <v>9.920000000000007</v>
      </c>
      <c r="E109" s="94">
        <v>0.34649999999999997</v>
      </c>
      <c r="F109" s="95">
        <v>0.9694020655053599</v>
      </c>
      <c r="G109" s="96">
        <f t="shared" si="12"/>
        <v>107.41499999999999</v>
      </c>
      <c r="H109" s="97">
        <f t="shared" si="13"/>
        <v>300.51464030666159</v>
      </c>
      <c r="I109" s="193"/>
      <c r="J109" s="98">
        <f t="shared" si="14"/>
        <v>1803087.8418399696</v>
      </c>
      <c r="K109" s="164"/>
      <c r="L109" s="99">
        <v>0.9694020655053599</v>
      </c>
      <c r="M109" s="97">
        <f t="shared" si="15"/>
        <v>300.51464030666159</v>
      </c>
      <c r="N109" s="164"/>
      <c r="O109" s="80">
        <v>9.920000000000007</v>
      </c>
      <c r="P109" s="100">
        <f t="shared" si="16"/>
        <v>300.51464030666159</v>
      </c>
      <c r="Q109" s="98">
        <f t="shared" si="17"/>
        <v>1803087.8418399696</v>
      </c>
      <c r="R109" s="164"/>
      <c r="S109" s="164"/>
      <c r="T109" s="164"/>
      <c r="U109" s="164"/>
      <c r="V109" s="164"/>
      <c r="W109" s="164"/>
      <c r="X109" s="164"/>
    </row>
    <row r="110" spans="1:24">
      <c r="A110" s="164"/>
      <c r="B110" s="93">
        <v>100</v>
      </c>
      <c r="C110" s="79">
        <v>10</v>
      </c>
      <c r="D110" s="190">
        <v>10</v>
      </c>
      <c r="E110" s="94">
        <v>0.35</v>
      </c>
      <c r="F110" s="95">
        <v>1.0011248072535126</v>
      </c>
      <c r="G110" s="96">
        <f t="shared" si="12"/>
        <v>108.5</v>
      </c>
      <c r="H110" s="97">
        <f t="shared" si="13"/>
        <v>310.34869024858892</v>
      </c>
      <c r="I110" s="193"/>
      <c r="J110" s="98">
        <f t="shared" si="14"/>
        <v>1862092.1414915335</v>
      </c>
      <c r="K110" s="164"/>
      <c r="L110" s="99">
        <v>1.0011248072535126</v>
      </c>
      <c r="M110" s="97">
        <f t="shared" si="15"/>
        <v>310.34869024858892</v>
      </c>
      <c r="N110" s="164"/>
      <c r="O110" s="80">
        <v>10</v>
      </c>
      <c r="P110" s="100">
        <f t="shared" si="16"/>
        <v>310.34869024858892</v>
      </c>
      <c r="Q110" s="98">
        <f t="shared" si="17"/>
        <v>1862092.1414915335</v>
      </c>
      <c r="R110" s="164"/>
      <c r="S110" s="164"/>
      <c r="T110" s="164"/>
      <c r="U110" s="164"/>
      <c r="V110" s="164"/>
      <c r="W110" s="164"/>
      <c r="X110" s="164"/>
    </row>
    <row r="111" spans="1:24">
      <c r="A111" s="164"/>
      <c r="B111" s="164"/>
      <c r="C111" s="164"/>
      <c r="D111" s="164"/>
      <c r="E111" s="164"/>
      <c r="F111" s="164"/>
      <c r="G111" s="164"/>
      <c r="H111" s="164"/>
      <c r="I111" s="164"/>
      <c r="J111" s="164"/>
      <c r="K111" s="164"/>
      <c r="L111" s="164"/>
      <c r="M111" s="164"/>
      <c r="N111" s="164"/>
      <c r="O111" s="164"/>
      <c r="P111" s="164"/>
      <c r="Q111" s="164"/>
      <c r="R111" s="164"/>
      <c r="S111" s="164"/>
      <c r="T111" s="164"/>
      <c r="U111" s="164"/>
      <c r="V111" s="164"/>
      <c r="W111" s="164"/>
      <c r="X111" s="164"/>
    </row>
  </sheetData>
  <sheetProtection algorithmName="SHA-512" hashValue="wEKM+h0NYDbKkP2jkxAxOcBtCmaeMB4OOQru2U1g6XlGfSbkcF0VgrP6HhiNyPNrusByapRIkpRa2+HG7mOHcQ==" saltValue="SS6pa5yd85hC4WqjPXyxew==" spinCount="100000" sheet="1" objects="1" scenarios="1"/>
  <mergeCells count="5">
    <mergeCell ref="L4:Q4"/>
    <mergeCell ref="B4:J4"/>
    <mergeCell ref="S6:W7"/>
    <mergeCell ref="B5:D5"/>
    <mergeCell ref="E5:J5"/>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FA2882-1FC8-4B2F-8395-580D996FD0D5}">
  <sheetPr codeName="Sheet1">
    <tabColor rgb="FFFF6600"/>
  </sheetPr>
  <dimension ref="A1:Q39"/>
  <sheetViews>
    <sheetView showGridLines="0" showRowColHeaders="0" workbookViewId="0">
      <selection activeCell="I4" sqref="I4"/>
    </sheetView>
  </sheetViews>
  <sheetFormatPr defaultRowHeight="13.2"/>
  <sheetData>
    <row r="1" spans="1:17">
      <c r="A1" s="164"/>
      <c r="B1" s="164"/>
      <c r="C1" s="164"/>
      <c r="D1" s="164"/>
      <c r="E1" s="164"/>
      <c r="F1" s="164"/>
      <c r="G1" s="164"/>
      <c r="H1" s="164"/>
      <c r="I1" s="164"/>
      <c r="J1" s="164"/>
      <c r="K1" s="164"/>
      <c r="L1" s="164"/>
      <c r="M1" s="164"/>
      <c r="N1" s="164"/>
      <c r="O1" s="164"/>
      <c r="P1" s="164"/>
      <c r="Q1" s="164"/>
    </row>
    <row r="2" spans="1:17">
      <c r="A2" s="164"/>
      <c r="B2" s="164"/>
      <c r="C2" s="164"/>
      <c r="D2" s="164"/>
      <c r="E2" s="164"/>
      <c r="F2" s="164"/>
      <c r="G2" s="164"/>
      <c r="H2" s="164"/>
      <c r="I2" s="164"/>
      <c r="J2" s="164"/>
      <c r="K2" s="164"/>
      <c r="L2" s="164"/>
      <c r="M2" s="164"/>
      <c r="N2" s="164"/>
      <c r="O2" s="164"/>
      <c r="P2" s="164"/>
      <c r="Q2" s="164"/>
    </row>
    <row r="3" spans="1:17">
      <c r="A3" s="164"/>
      <c r="B3" s="164"/>
      <c r="C3" s="164"/>
      <c r="D3" s="164"/>
      <c r="E3" s="164"/>
      <c r="F3" s="164"/>
      <c r="G3" s="164"/>
      <c r="H3" s="164"/>
      <c r="I3" s="164"/>
      <c r="J3" s="164"/>
      <c r="K3" s="164"/>
      <c r="L3" s="164"/>
      <c r="M3" s="164"/>
      <c r="N3" s="164"/>
      <c r="O3" s="164"/>
      <c r="P3" s="164"/>
      <c r="Q3" s="164"/>
    </row>
    <row r="4" spans="1:17">
      <c r="A4" s="164"/>
      <c r="B4" s="164"/>
      <c r="C4" s="164"/>
      <c r="D4" s="164"/>
      <c r="E4" s="164"/>
      <c r="F4" s="164"/>
      <c r="G4" s="164"/>
      <c r="H4" s="164"/>
      <c r="I4" s="164"/>
      <c r="J4" s="164"/>
      <c r="K4" s="164"/>
      <c r="L4" s="164"/>
      <c r="M4" s="164"/>
      <c r="N4" s="164"/>
      <c r="O4" s="164"/>
      <c r="P4" s="164"/>
      <c r="Q4" s="164"/>
    </row>
    <row r="5" spans="1:17">
      <c r="A5" s="164"/>
      <c r="B5" s="164"/>
      <c r="C5" s="164"/>
      <c r="D5" s="164"/>
      <c r="E5" s="164"/>
      <c r="F5" s="164"/>
      <c r="G5" s="164"/>
      <c r="H5" s="164"/>
      <c r="I5" s="164"/>
      <c r="J5" s="164"/>
      <c r="K5" s="164"/>
      <c r="L5" s="164"/>
      <c r="M5" s="164"/>
      <c r="N5" s="164"/>
      <c r="O5" s="164"/>
      <c r="P5" s="164"/>
      <c r="Q5" s="164"/>
    </row>
    <row r="6" spans="1:17">
      <c r="A6" s="164"/>
      <c r="B6" s="164"/>
      <c r="C6" s="164"/>
      <c r="D6" s="164"/>
      <c r="E6" s="164"/>
      <c r="F6" s="164"/>
      <c r="G6" s="164"/>
      <c r="H6" s="164"/>
      <c r="I6" s="164"/>
      <c r="J6" s="164"/>
      <c r="K6" s="164"/>
      <c r="L6" s="164"/>
      <c r="M6" s="164"/>
      <c r="N6" s="164"/>
      <c r="O6" s="164"/>
      <c r="P6" s="164"/>
      <c r="Q6" s="164"/>
    </row>
    <row r="7" spans="1:17">
      <c r="A7" s="164"/>
      <c r="B7" s="164"/>
      <c r="C7" s="164"/>
      <c r="D7" s="164"/>
      <c r="E7" s="164"/>
      <c r="F7" s="164"/>
      <c r="G7" s="164"/>
      <c r="H7" s="164"/>
      <c r="I7" s="164"/>
      <c r="J7" s="164"/>
      <c r="K7" s="164"/>
      <c r="L7" s="164"/>
      <c r="M7" s="164"/>
      <c r="N7" s="164"/>
      <c r="O7" s="164"/>
      <c r="P7" s="164"/>
      <c r="Q7" s="164"/>
    </row>
    <row r="8" spans="1:17">
      <c r="A8" s="164"/>
      <c r="B8" s="164"/>
      <c r="C8" s="164"/>
      <c r="D8" s="164"/>
      <c r="E8" s="164"/>
      <c r="F8" s="164"/>
      <c r="G8" s="164"/>
      <c r="H8" s="164"/>
      <c r="I8" s="164"/>
      <c r="J8" s="164"/>
      <c r="K8" s="164"/>
      <c r="L8" s="164"/>
      <c r="M8" s="164"/>
      <c r="N8" s="164"/>
      <c r="O8" s="164"/>
      <c r="P8" s="164"/>
      <c r="Q8" s="164"/>
    </row>
    <row r="9" spans="1:17">
      <c r="A9" s="164"/>
      <c r="B9" s="164"/>
      <c r="C9" s="164"/>
      <c r="D9" s="164"/>
      <c r="E9" s="164"/>
      <c r="F9" s="164"/>
      <c r="G9" s="164"/>
      <c r="H9" s="164"/>
      <c r="I9" s="164"/>
      <c r="J9" s="164"/>
      <c r="K9" s="164"/>
      <c r="L9" s="164"/>
      <c r="M9" s="164"/>
      <c r="N9" s="164"/>
      <c r="O9" s="164"/>
      <c r="P9" s="164"/>
      <c r="Q9" s="164"/>
    </row>
    <row r="10" spans="1:17">
      <c r="A10" s="164"/>
      <c r="B10" s="164"/>
      <c r="C10" s="164"/>
      <c r="D10" s="164"/>
      <c r="E10" s="164"/>
      <c r="F10" s="164"/>
      <c r="G10" s="164"/>
      <c r="H10" s="164"/>
      <c r="I10" s="164"/>
      <c r="J10" s="164"/>
      <c r="K10" s="164"/>
      <c r="L10" s="164"/>
      <c r="M10" s="164"/>
      <c r="N10" s="164"/>
      <c r="O10" s="164"/>
      <c r="P10" s="164"/>
      <c r="Q10" s="164"/>
    </row>
    <row r="11" spans="1:17">
      <c r="A11" s="164"/>
      <c r="B11" s="164"/>
      <c r="C11" s="164"/>
      <c r="D11" s="164"/>
      <c r="E11" s="164"/>
      <c r="F11" s="164"/>
      <c r="G11" s="164"/>
      <c r="H11" s="164"/>
      <c r="I11" s="164"/>
      <c r="J11" s="164"/>
      <c r="K11" s="164"/>
      <c r="L11" s="164"/>
      <c r="M11" s="164"/>
      <c r="N11" s="164"/>
      <c r="O11" s="164"/>
      <c r="P11" s="164"/>
      <c r="Q11" s="164"/>
    </row>
    <row r="12" spans="1:17">
      <c r="A12" s="164"/>
      <c r="B12" s="164"/>
      <c r="C12" s="164"/>
      <c r="D12" s="164"/>
      <c r="E12" s="164"/>
      <c r="F12" s="164"/>
      <c r="G12" s="164"/>
      <c r="H12" s="164"/>
      <c r="I12" s="164"/>
      <c r="J12" s="164"/>
      <c r="K12" s="164"/>
      <c r="L12" s="164"/>
      <c r="M12" s="164"/>
      <c r="N12" s="164"/>
      <c r="O12" s="164"/>
      <c r="P12" s="164"/>
      <c r="Q12" s="164"/>
    </row>
    <row r="13" spans="1:17">
      <c r="A13" s="164"/>
      <c r="B13" s="164"/>
      <c r="C13" s="164"/>
      <c r="D13" s="164"/>
      <c r="E13" s="164"/>
      <c r="F13" s="164"/>
      <c r="G13" s="164"/>
      <c r="H13" s="164"/>
      <c r="I13" s="164"/>
      <c r="J13" s="164"/>
      <c r="K13" s="164"/>
      <c r="L13" s="164"/>
      <c r="M13" s="164"/>
      <c r="N13" s="164"/>
      <c r="O13" s="164"/>
      <c r="P13" s="164"/>
      <c r="Q13" s="164"/>
    </row>
    <row r="14" spans="1:17">
      <c r="A14" s="164"/>
      <c r="B14" s="164"/>
      <c r="C14" s="164"/>
      <c r="D14" s="164"/>
      <c r="E14" s="164"/>
      <c r="F14" s="164"/>
      <c r="G14" s="164"/>
      <c r="H14" s="164"/>
      <c r="I14" s="164"/>
      <c r="J14" s="164"/>
      <c r="K14" s="164"/>
      <c r="L14" s="164"/>
      <c r="M14" s="164"/>
      <c r="N14" s="164"/>
      <c r="O14" s="164"/>
      <c r="P14" s="164"/>
      <c r="Q14" s="164"/>
    </row>
    <row r="15" spans="1:17">
      <c r="A15" s="164"/>
      <c r="B15" s="164"/>
      <c r="C15" s="164"/>
      <c r="D15" s="164"/>
      <c r="E15" s="164"/>
      <c r="F15" s="164"/>
      <c r="G15" s="164"/>
      <c r="H15" s="164"/>
      <c r="I15" s="164"/>
      <c r="J15" s="164"/>
      <c r="K15" s="164"/>
      <c r="L15" s="164"/>
      <c r="M15" s="164"/>
      <c r="N15" s="164"/>
      <c r="O15" s="164"/>
      <c r="P15" s="164"/>
      <c r="Q15" s="164"/>
    </row>
    <row r="16" spans="1:17">
      <c r="A16" s="164"/>
      <c r="B16" s="164"/>
      <c r="C16" s="164"/>
      <c r="D16" s="164"/>
      <c r="E16" s="164"/>
      <c r="F16" s="164"/>
      <c r="G16" s="164"/>
      <c r="H16" s="164"/>
      <c r="I16" s="164"/>
      <c r="J16" s="164"/>
      <c r="K16" s="164"/>
      <c r="L16" s="164"/>
      <c r="M16" s="164"/>
      <c r="N16" s="164"/>
      <c r="O16" s="164"/>
      <c r="P16" s="164"/>
      <c r="Q16" s="164"/>
    </row>
    <row r="17" spans="1:17">
      <c r="A17" s="164"/>
      <c r="B17" s="164"/>
      <c r="C17" s="164"/>
      <c r="D17" s="164"/>
      <c r="E17" s="164"/>
      <c r="F17" s="164"/>
      <c r="G17" s="164"/>
      <c r="H17" s="164"/>
      <c r="I17" s="164"/>
      <c r="J17" s="164"/>
      <c r="K17" s="164"/>
      <c r="L17" s="164"/>
      <c r="M17" s="164"/>
      <c r="N17" s="164"/>
      <c r="O17" s="164"/>
      <c r="P17" s="164"/>
      <c r="Q17" s="164"/>
    </row>
    <row r="18" spans="1:17">
      <c r="A18" s="164"/>
      <c r="B18" s="164"/>
      <c r="C18" s="164"/>
      <c r="D18" s="164"/>
      <c r="E18" s="164"/>
      <c r="F18" s="164"/>
      <c r="G18" s="164"/>
      <c r="H18" s="164"/>
      <c r="I18" s="164"/>
      <c r="J18" s="164"/>
      <c r="K18" s="164"/>
      <c r="L18" s="164"/>
      <c r="M18" s="164"/>
      <c r="N18" s="164"/>
      <c r="O18" s="164"/>
      <c r="P18" s="164"/>
      <c r="Q18" s="164"/>
    </row>
    <row r="19" spans="1:17">
      <c r="A19" s="164"/>
      <c r="B19" s="164"/>
      <c r="C19" s="164"/>
      <c r="D19" s="164"/>
      <c r="E19" s="164"/>
      <c r="F19" s="164"/>
      <c r="G19" s="164"/>
      <c r="H19" s="164"/>
      <c r="I19" s="164"/>
      <c r="J19" s="164"/>
      <c r="K19" s="164"/>
      <c r="L19" s="164"/>
      <c r="M19" s="164"/>
      <c r="N19" s="164"/>
      <c r="O19" s="164"/>
      <c r="P19" s="164"/>
      <c r="Q19" s="164"/>
    </row>
    <row r="20" spans="1:17">
      <c r="A20" s="164"/>
      <c r="B20" s="164"/>
      <c r="C20" s="164"/>
      <c r="D20" s="164"/>
      <c r="E20" s="164"/>
      <c r="F20" s="164"/>
      <c r="G20" s="164"/>
      <c r="H20" s="164"/>
      <c r="I20" s="164"/>
      <c r="J20" s="164"/>
      <c r="K20" s="164"/>
      <c r="L20" s="164"/>
      <c r="M20" s="164"/>
      <c r="N20" s="164"/>
      <c r="O20" s="164"/>
      <c r="P20" s="164"/>
      <c r="Q20" s="164"/>
    </row>
    <row r="21" spans="1:17">
      <c r="A21" s="164"/>
      <c r="B21" s="164"/>
      <c r="C21" s="164"/>
      <c r="D21" s="164"/>
      <c r="E21" s="164"/>
      <c r="F21" s="164"/>
      <c r="G21" s="164"/>
      <c r="H21" s="164"/>
      <c r="I21" s="164"/>
      <c r="J21" s="164"/>
      <c r="K21" s="164"/>
      <c r="L21" s="164"/>
      <c r="M21" s="164"/>
      <c r="N21" s="164"/>
      <c r="O21" s="164"/>
      <c r="P21" s="164"/>
      <c r="Q21" s="164"/>
    </row>
    <row r="22" spans="1:17">
      <c r="A22" s="164"/>
      <c r="B22" s="164"/>
      <c r="C22" s="164"/>
      <c r="D22" s="164"/>
      <c r="E22" s="164"/>
      <c r="F22" s="164"/>
      <c r="G22" s="164"/>
      <c r="H22" s="164"/>
      <c r="I22" s="164"/>
      <c r="J22" s="164"/>
      <c r="K22" s="164"/>
      <c r="L22" s="164"/>
      <c r="M22" s="164"/>
      <c r="N22" s="164"/>
      <c r="O22" s="164"/>
      <c r="P22" s="164"/>
      <c r="Q22" s="164"/>
    </row>
    <row r="23" spans="1:17">
      <c r="A23" s="164"/>
      <c r="B23" s="164"/>
      <c r="C23" s="164"/>
      <c r="D23" s="164"/>
      <c r="E23" s="164"/>
      <c r="F23" s="164"/>
      <c r="G23" s="164"/>
      <c r="H23" s="164"/>
      <c r="I23" s="164"/>
      <c r="J23" s="164"/>
      <c r="K23" s="164"/>
      <c r="L23" s="164"/>
      <c r="M23" s="164"/>
      <c r="N23" s="164"/>
      <c r="O23" s="164"/>
      <c r="P23" s="164"/>
      <c r="Q23" s="164"/>
    </row>
    <row r="24" spans="1:17">
      <c r="A24" s="164"/>
      <c r="B24" s="164"/>
      <c r="C24" s="164"/>
      <c r="D24" s="164"/>
      <c r="E24" s="164"/>
      <c r="F24" s="164"/>
      <c r="G24" s="164"/>
      <c r="H24" s="164"/>
      <c r="I24" s="164"/>
      <c r="J24" s="164"/>
      <c r="K24" s="164"/>
      <c r="L24" s="164"/>
      <c r="M24" s="164"/>
      <c r="N24" s="164"/>
      <c r="O24" s="164"/>
      <c r="P24" s="164"/>
      <c r="Q24" s="164"/>
    </row>
    <row r="25" spans="1:17">
      <c r="A25" s="164"/>
      <c r="B25" s="164"/>
      <c r="C25" s="164"/>
      <c r="D25" s="164"/>
      <c r="E25" s="164"/>
      <c r="F25" s="164"/>
      <c r="G25" s="164"/>
      <c r="H25" s="164"/>
      <c r="I25" s="164"/>
      <c r="J25" s="164"/>
      <c r="K25" s="164"/>
      <c r="L25" s="164"/>
      <c r="M25" s="164"/>
      <c r="N25" s="164"/>
      <c r="O25" s="164"/>
      <c r="P25" s="164"/>
      <c r="Q25" s="164"/>
    </row>
    <row r="26" spans="1:17">
      <c r="A26" s="164"/>
      <c r="B26" s="164"/>
      <c r="C26" s="164"/>
      <c r="D26" s="164"/>
      <c r="E26" s="164"/>
      <c r="F26" s="164"/>
      <c r="G26" s="164"/>
      <c r="H26" s="164"/>
      <c r="I26" s="164"/>
      <c r="J26" s="164"/>
      <c r="K26" s="164"/>
      <c r="L26" s="164"/>
      <c r="M26" s="164"/>
      <c r="N26" s="164"/>
      <c r="O26" s="164"/>
      <c r="P26" s="164"/>
      <c r="Q26" s="164"/>
    </row>
    <row r="27" spans="1:17">
      <c r="A27" s="164"/>
      <c r="B27" s="164"/>
      <c r="C27" s="164"/>
      <c r="D27" s="164"/>
      <c r="E27" s="164"/>
      <c r="F27" s="164"/>
      <c r="G27" s="164"/>
      <c r="H27" s="164"/>
      <c r="I27" s="164"/>
      <c r="J27" s="164"/>
      <c r="K27" s="164"/>
      <c r="L27" s="164"/>
      <c r="M27" s="164"/>
      <c r="N27" s="164"/>
      <c r="O27" s="164"/>
      <c r="P27" s="164"/>
      <c r="Q27" s="164"/>
    </row>
    <row r="28" spans="1:17">
      <c r="A28" s="164"/>
      <c r="B28" s="164"/>
      <c r="C28" s="164"/>
      <c r="D28" s="164"/>
      <c r="E28" s="164"/>
      <c r="F28" s="164"/>
      <c r="G28" s="164"/>
      <c r="H28" s="164"/>
      <c r="I28" s="164"/>
      <c r="J28" s="164"/>
      <c r="K28" s="164"/>
      <c r="L28" s="164"/>
      <c r="M28" s="164"/>
      <c r="N28" s="164"/>
      <c r="O28" s="164"/>
      <c r="P28" s="164"/>
      <c r="Q28" s="164"/>
    </row>
    <row r="29" spans="1:17">
      <c r="A29" s="164"/>
      <c r="B29" s="164"/>
      <c r="C29" s="164"/>
      <c r="D29" s="164"/>
      <c r="E29" s="164"/>
      <c r="F29" s="164"/>
      <c r="G29" s="164"/>
      <c r="H29" s="164"/>
      <c r="I29" s="164"/>
      <c r="J29" s="164"/>
      <c r="K29" s="164"/>
      <c r="L29" s="164"/>
      <c r="M29" s="164"/>
      <c r="N29" s="164"/>
      <c r="O29" s="164"/>
      <c r="P29" s="164"/>
      <c r="Q29" s="164"/>
    </row>
    <row r="30" spans="1:17">
      <c r="A30" s="164"/>
      <c r="B30" s="164"/>
      <c r="C30" s="164"/>
      <c r="D30" s="164"/>
      <c r="E30" s="164"/>
      <c r="F30" s="164"/>
      <c r="G30" s="164"/>
      <c r="H30" s="164"/>
      <c r="I30" s="164"/>
      <c r="J30" s="164"/>
      <c r="K30" s="164"/>
      <c r="L30" s="164"/>
      <c r="M30" s="164"/>
      <c r="N30" s="164"/>
      <c r="O30" s="164"/>
      <c r="P30" s="164"/>
      <c r="Q30" s="164"/>
    </row>
    <row r="31" spans="1:17">
      <c r="A31" s="164"/>
      <c r="B31" s="164"/>
      <c r="C31" s="164"/>
      <c r="D31" s="164"/>
      <c r="E31" s="164"/>
      <c r="F31" s="164"/>
      <c r="G31" s="164"/>
      <c r="H31" s="164"/>
      <c r="I31" s="164"/>
      <c r="J31" s="164"/>
      <c r="K31" s="164"/>
      <c r="L31" s="164"/>
      <c r="M31" s="164"/>
      <c r="N31" s="164"/>
      <c r="O31" s="164"/>
      <c r="P31" s="164"/>
      <c r="Q31" s="164"/>
    </row>
    <row r="32" spans="1:17">
      <c r="A32" s="164"/>
      <c r="B32" s="164"/>
      <c r="C32" s="164"/>
      <c r="D32" s="164"/>
      <c r="E32" s="164"/>
      <c r="F32" s="164"/>
      <c r="G32" s="164"/>
      <c r="H32" s="164"/>
      <c r="I32" s="164"/>
      <c r="J32" s="164"/>
      <c r="K32" s="164"/>
      <c r="L32" s="164"/>
      <c r="M32" s="164"/>
      <c r="N32" s="164"/>
      <c r="O32" s="164"/>
      <c r="P32" s="164"/>
      <c r="Q32" s="164"/>
    </row>
    <row r="33" spans="1:17">
      <c r="A33" s="164"/>
      <c r="B33" s="164"/>
      <c r="C33" s="164"/>
      <c r="D33" s="164"/>
      <c r="E33" s="164"/>
      <c r="F33" s="164"/>
      <c r="G33" s="164"/>
      <c r="H33" s="164"/>
      <c r="I33" s="164"/>
      <c r="J33" s="164"/>
      <c r="K33" s="164"/>
      <c r="L33" s="164"/>
      <c r="M33" s="164"/>
      <c r="N33" s="164"/>
      <c r="O33" s="164"/>
      <c r="P33" s="164"/>
      <c r="Q33" s="164"/>
    </row>
    <row r="34" spans="1:17">
      <c r="A34" s="164"/>
      <c r="B34" s="164"/>
      <c r="C34" s="164"/>
      <c r="D34" s="164"/>
      <c r="E34" s="164"/>
      <c r="F34" s="164"/>
      <c r="G34" s="164"/>
      <c r="H34" s="164"/>
      <c r="I34" s="164"/>
      <c r="J34" s="164"/>
      <c r="K34" s="164"/>
      <c r="L34" s="164"/>
      <c r="M34" s="164"/>
      <c r="N34" s="164"/>
      <c r="O34" s="164"/>
      <c r="P34" s="164"/>
      <c r="Q34" s="164"/>
    </row>
    <row r="35" spans="1:17">
      <c r="A35" s="164"/>
      <c r="B35" s="164"/>
      <c r="C35" s="164"/>
      <c r="D35" s="164"/>
      <c r="E35" s="164"/>
      <c r="F35" s="164"/>
      <c r="G35" s="164"/>
      <c r="H35" s="164"/>
      <c r="I35" s="164"/>
      <c r="J35" s="164"/>
      <c r="K35" s="164"/>
      <c r="L35" s="164"/>
      <c r="M35" s="164"/>
      <c r="N35" s="164"/>
      <c r="O35" s="164"/>
      <c r="P35" s="164"/>
      <c r="Q35" s="164"/>
    </row>
    <row r="36" spans="1:17">
      <c r="A36" s="164"/>
      <c r="B36" s="164"/>
      <c r="C36" s="164"/>
      <c r="D36" s="164"/>
      <c r="E36" s="164"/>
      <c r="F36" s="164"/>
      <c r="G36" s="164"/>
      <c r="H36" s="164"/>
      <c r="I36" s="164"/>
      <c r="J36" s="164"/>
      <c r="K36" s="164"/>
      <c r="L36" s="164"/>
      <c r="M36" s="164"/>
      <c r="N36" s="164"/>
      <c r="O36" s="164"/>
      <c r="P36" s="164"/>
      <c r="Q36" s="164"/>
    </row>
    <row r="37" spans="1:17">
      <c r="A37" s="164"/>
      <c r="B37" s="164"/>
      <c r="C37" s="164"/>
      <c r="D37" s="164"/>
      <c r="E37" s="164"/>
      <c r="F37" s="164"/>
      <c r="G37" s="164"/>
      <c r="H37" s="164"/>
      <c r="I37" s="164"/>
      <c r="J37" s="164"/>
      <c r="K37" s="164"/>
      <c r="L37" s="164"/>
      <c r="M37" s="164"/>
      <c r="N37" s="164"/>
      <c r="O37" s="164"/>
      <c r="P37" s="164"/>
      <c r="Q37" s="164"/>
    </row>
    <row r="38" spans="1:17">
      <c r="A38" s="164"/>
      <c r="B38" s="164"/>
      <c r="C38" s="164"/>
      <c r="D38" s="164"/>
      <c r="E38" s="164"/>
      <c r="F38" s="164"/>
      <c r="G38" s="164"/>
      <c r="H38" s="164"/>
      <c r="I38" s="164"/>
      <c r="J38" s="164"/>
      <c r="K38" s="164"/>
      <c r="L38" s="164"/>
      <c r="M38" s="164"/>
      <c r="N38" s="164"/>
      <c r="O38" s="164"/>
      <c r="P38" s="164"/>
      <c r="Q38" s="164"/>
    </row>
    <row r="39" spans="1:17">
      <c r="A39" s="164"/>
      <c r="B39" s="164"/>
      <c r="C39" s="164"/>
      <c r="D39" s="164"/>
      <c r="E39" s="164"/>
      <c r="F39" s="164"/>
      <c r="G39" s="164"/>
      <c r="H39" s="164"/>
      <c r="I39" s="164"/>
      <c r="J39" s="164"/>
      <c r="K39" s="164"/>
      <c r="L39" s="164"/>
      <c r="M39" s="164"/>
      <c r="N39" s="164"/>
      <c r="O39" s="164"/>
      <c r="P39" s="164"/>
      <c r="Q39" s="164"/>
    </row>
  </sheetData>
  <sheetProtection algorithmName="SHA-512" hashValue="jWuEl4BJheBbBz7Ji1wMNFDlkk+D7S+wIHBfPvj6FOvViK25WWPKM7eNKR7wPU1RJkp6mdObkE8ZNCTEaBvtsA==" saltValue="MipM/GCReaU6Z8MiAQ+Inw==" spinCount="100000" sheet="1" objects="1" scenarios="1"/>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902587-4C65-4143-A882-1854A6579B55}">
  <sheetPr codeName="Sheet5">
    <tabColor rgb="FFFF6600"/>
  </sheetPr>
  <dimension ref="B7:G85"/>
  <sheetViews>
    <sheetView showGridLines="0" showRowColHeaders="0" topLeftCell="A15" workbookViewId="0">
      <selection activeCell="J53" sqref="J53"/>
    </sheetView>
  </sheetViews>
  <sheetFormatPr defaultRowHeight="13.2"/>
  <cols>
    <col min="2" max="2" width="33.44140625" customWidth="1"/>
    <col min="3" max="4" width="16.77734375" customWidth="1"/>
    <col min="5" max="5" width="13.77734375" customWidth="1"/>
    <col min="6" max="7" width="16.77734375" customWidth="1"/>
  </cols>
  <sheetData>
    <row r="7" spans="2:4" ht="13.8" customHeight="1"/>
    <row r="12" spans="2:4" ht="28.05" customHeight="1">
      <c r="B12" s="216"/>
      <c r="C12" s="292" t="str">
        <f>Tr("ACTUAL_COL_HDR","Actual (Before)")</f>
        <v>Actual (Before)</v>
      </c>
      <c r="D12" s="292" t="str">
        <f>Tr("FUTURE_COL_HDR","Future (After EV)")</f>
        <v>Future (After Energy Valve)</v>
      </c>
    </row>
    <row r="13" spans="2:4">
      <c r="B13" s="216" t="str">
        <f>Tr("HDR_DELTA_T","Delta-T")&amp;" ["&amp;UnitText("DELTA")&amp;"]"</f>
        <v>Delta-T [°F]</v>
      </c>
      <c r="C13" s="349">
        <f>displayValue(Model_Home!$F$19,"DELTA")</f>
        <v>6</v>
      </c>
      <c r="D13" s="349">
        <f>displayValue(Model_Home!$F$20,"DELTA")</f>
        <v>12</v>
      </c>
    </row>
    <row r="14" spans="2:4">
      <c r="B14" s="216" t="str">
        <f>Tr("HDR_AVG_FLOW","Avg Flow")&amp;" ["&amp;UnitText("FLOW")&amp;"]"</f>
        <v>Avg Flow [GPM]</v>
      </c>
      <c r="C14" s="222">
        <f>VLOOKUP(displayValue(Model_Home!$F$19,"DELTA"),$B$20:$C$25,2)</f>
        <v>368.12500000000006</v>
      </c>
      <c r="D14" s="222">
        <f>VLOOKUP(displayValue(Model_Home!$F$20,"DELTA"),$B$20:$C$25,2)</f>
        <v>232.50000000000003</v>
      </c>
    </row>
    <row r="15" spans="2:4">
      <c r="B15" s="216" t="str">
        <f>Tr("PUMPING_COST_YEAR_LABEL","Pumping Cost / Year")</f>
        <v>Pumping Cost / Year</v>
      </c>
      <c r="C15" s="223">
        <f>VLOOKUP(displayValue(Model_Home!$F$19,"DELTA"),$B$20:$E$25,4)</f>
        <v>2359.1038107915188</v>
      </c>
      <c r="D15" s="223">
        <f>VLOOKUP(displayValue(Model_Home!$F$20,"DELTA"),$B$20:$E$25,4)</f>
        <v>677.10041038663189</v>
      </c>
    </row>
    <row r="16" spans="2:4">
      <c r="B16" s="216" t="str">
        <f>Tr("HDR_ENERGY_YEAR","Energy / Year")&amp;" ["&amp;UnitText("ENERGY")&amp;"]"</f>
        <v>Energy / Year [kWh]</v>
      </c>
      <c r="C16" s="222">
        <f>VLOOKUP(displayValue(Model_Home!$F$19,"DELTA"),$B$20:$F$25,5)</f>
        <v>23591.038107915185</v>
      </c>
      <c r="D16" s="222">
        <f>VLOOKUP(displayValue(Model_Home!$F$20,"DELTA"),$B$20:$F$25,5)</f>
        <v>6771.0041038663185</v>
      </c>
    </row>
    <row r="19" spans="2:7" ht="28.05" customHeight="1">
      <c r="B19" s="340" t="str">
        <f>Tr("HDR_DELTA_T","Delta-T")&amp;" ["&amp;UnitText("DELTA")&amp;"]"</f>
        <v>Delta-T [°F]</v>
      </c>
      <c r="C19" s="340" t="str">
        <f>Tr("HDR_AVG","Avg")&amp;" ["&amp;UnitText("FLOW")&amp;"]"</f>
        <v>Avg [GPM]</v>
      </c>
      <c r="D19" s="340" t="str">
        <f>Tr("HDR_AVG","Avg")&amp;" ["&amp;UnitText("TONS")&amp;"]"</f>
        <v>Avg [tons]</v>
      </c>
      <c r="E19" s="340" t="str">
        <f>Tr("PUMPING_COST","Pumping Cost")</f>
        <v>Pumping Cost</v>
      </c>
      <c r="F19" s="340" t="str">
        <f>Tr("HDR_ENERGY","Energy")&amp;" ["&amp;UnitText("ENERGY")&amp;"]"</f>
        <v>Energy [kWh]</v>
      </c>
      <c r="G19" s="340" t="str">
        <f>Tr("HDR_ANNUAL","Annual")&amp;" "&amp;UnitText("VOLUME")</f>
        <v>Annual gallons</v>
      </c>
    </row>
    <row r="20" spans="2:7">
      <c r="B20" s="224">
        <f>'Pump Savings'!F21</f>
        <v>4</v>
      </c>
      <c r="C20" s="225">
        <f>'Pump Savings'!R25</f>
        <v>387.50000000000006</v>
      </c>
      <c r="D20" s="250">
        <f>displayValue(('Model_Pump Savings'!R25*'Model_Pump Savings'!F21)/24,"TONS")</f>
        <v>64.583333333333343</v>
      </c>
      <c r="E20" s="226">
        <f>'Pump Savings'!R23</f>
        <v>2686.9063904231421</v>
      </c>
      <c r="F20" s="225">
        <f>'Pump Savings'!R26</f>
        <v>26869.063904231418</v>
      </c>
      <c r="G20" s="225">
        <f>'Pump Savings'!R24</f>
        <v>127795895.15072085</v>
      </c>
    </row>
    <row r="21" spans="2:7">
      <c r="B21" s="227">
        <f>'Pump Savings'!F29</f>
        <v>6</v>
      </c>
      <c r="C21" s="228">
        <f>'Pump Savings'!R33</f>
        <v>368.12500000000006</v>
      </c>
      <c r="D21" s="251">
        <f>displayValue(('Model_Pump Savings'!R33*'Model_Pump Savings'!F29)/24,"TONS")</f>
        <v>92.031250000000014</v>
      </c>
      <c r="E21" s="229">
        <f>'Pump Savings'!R31</f>
        <v>2359.1038107915188</v>
      </c>
      <c r="F21" s="228">
        <f>'Pump Savings'!R34</f>
        <v>23591.038107915185</v>
      </c>
      <c r="G21" s="228">
        <f>'Pump Savings'!R32</f>
        <v>121406100.39318481</v>
      </c>
    </row>
    <row r="22" spans="2:7">
      <c r="B22" s="230">
        <f>'Pump Savings'!F37</f>
        <v>8</v>
      </c>
      <c r="C22" s="231">
        <f>'Pump Savings'!R41</f>
        <v>329.375</v>
      </c>
      <c r="D22" s="252">
        <f>displayValue(('Model_Pump Savings'!R41*'Model_Pump Savings'!F37)/24,"TONS")</f>
        <v>109.79166666666667</v>
      </c>
      <c r="E22" s="232">
        <f>'Pump Savings'!R39</f>
        <v>1796.1969219978707</v>
      </c>
      <c r="F22" s="231">
        <f>'Pump Savings'!R42</f>
        <v>17961.969219978706</v>
      </c>
      <c r="G22" s="231">
        <f>'Pump Savings'!R40</f>
        <v>108626510.87811272</v>
      </c>
    </row>
    <row r="23" spans="2:7">
      <c r="B23" s="233">
        <f>'Pump Savings'!F45</f>
        <v>10</v>
      </c>
      <c r="C23" s="234">
        <f>'Pump Savings'!R49</f>
        <v>279</v>
      </c>
      <c r="D23" s="253">
        <f>displayValue(('Model_Pump Savings'!R49*'Model_Pump Savings'!F45)/24,"TONS")</f>
        <v>116.25</v>
      </c>
      <c r="E23" s="235">
        <f>'Pump Savings'!R47</f>
        <v>1170.0295091480994</v>
      </c>
      <c r="F23" s="234">
        <f>'Pump Savings'!R50</f>
        <v>11700.295091480994</v>
      </c>
      <c r="G23" s="234">
        <f>'Pump Savings'!R48</f>
        <v>92013044.508519009</v>
      </c>
    </row>
    <row r="24" spans="2:7">
      <c r="B24" s="236">
        <f>'Pump Savings'!F53</f>
        <v>12</v>
      </c>
      <c r="C24" s="237">
        <f>'Pump Savings'!R57</f>
        <v>232.50000000000003</v>
      </c>
      <c r="D24" s="254">
        <f>displayValue(('Model_Pump Savings'!R57*'Model_Pump Savings'!F53)/24,"TONS")</f>
        <v>116.25000000000001</v>
      </c>
      <c r="E24" s="238">
        <f>'Pump Savings'!R55</f>
        <v>677.10041038663189</v>
      </c>
      <c r="F24" s="237">
        <f>'Pump Savings'!R58</f>
        <v>6771.0041038663185</v>
      </c>
      <c r="G24" s="237">
        <f>'Pump Savings'!R56</f>
        <v>76677537.09043251</v>
      </c>
    </row>
    <row r="25" spans="2:7">
      <c r="B25" s="239">
        <f>'Pump Savings'!F61</f>
        <v>14</v>
      </c>
      <c r="C25" s="240">
        <f>'Pump Savings'!R65</f>
        <v>199.28571428571431</v>
      </c>
      <c r="D25" s="255">
        <f>displayValue(('Model_Pump Savings'!R65*'Model_Pump Savings'!F61)/24,"TONS")</f>
        <v>116.25000000000001</v>
      </c>
      <c r="E25" s="241">
        <f>'Pump Savings'!R63</f>
        <v>426.39559371286435</v>
      </c>
      <c r="F25" s="240">
        <f>'Pump Savings'!R66</f>
        <v>4263.9559371286432</v>
      </c>
      <c r="G25" s="240">
        <f>'Pump Savings'!R64</f>
        <v>65723603.220370725</v>
      </c>
    </row>
    <row r="26" spans="2:7">
      <c r="B26" s="217"/>
      <c r="C26" s="218"/>
      <c r="E26" s="219"/>
      <c r="F26" s="218"/>
      <c r="G26" s="218"/>
    </row>
    <row r="27" spans="2:7">
      <c r="B27" s="333" t="str">
        <f>CONCATENATE(Tr("ANNUAL_SAVINGS_CHANGING_DT_PREFIX","Annual Energy Savings for 
changing Delta T from "),TEXT(displayValue(Model_Home!$F$19,"DELTA"),"0.##"),Tr("DT_TO_MID"," to "),TEXT(displayValue(Model_Home!$F$20,"DELTA"),"0.##"))</f>
        <v>Annual Energy Savings for 
changing Delta T from 6. to 12.</v>
      </c>
      <c r="C27" s="334"/>
      <c r="D27" s="334"/>
      <c r="E27" s="242"/>
      <c r="F27" s="243"/>
      <c r="G27" s="243"/>
    </row>
    <row r="28" spans="2:7">
      <c r="B28" s="335"/>
      <c r="C28" s="336"/>
      <c r="D28" s="336"/>
      <c r="E28" s="244">
        <f>VLOOKUP(displayValue(Model_Home!$F$19,"DELTA"),$B$20:$F$25,4)-VLOOKUP(displayValue(Model_Home!$F$20,"DELTA"),$B$20:$F$25,4)</f>
        <v>1682.0034004048869</v>
      </c>
      <c r="F28" s="245">
        <f>VLOOKUP(displayValue(Model_Home!$F$19,"DELTA"),$B$20:$F$25,5)-VLOOKUP(displayValue(Model_Home!$F$20,"DELTA"),$B$20:$F$25,5)</f>
        <v>16820.034004048866</v>
      </c>
      <c r="G28" s="245">
        <f>VLOOKUP(displayValue(Model_Home!$F$19,"DELTA"),$B$20:$G$25,6)-VLOOKUP(displayValue(Model_Home!$F$20,"DELTA"),$B$20:$G$25,6)</f>
        <v>44728563.302752301</v>
      </c>
    </row>
    <row r="30" spans="2:7" ht="19.8" customHeight="1">
      <c r="B30" s="337" t="str">
        <f>Tr("CALC_ANNUAL_SAVINGS_SLIDER","Calculate Annual Savings by Changing the DeltaT using the slider")</f>
        <v>Calculate Annual Savings by Changing the DeltaT using the slider</v>
      </c>
      <c r="C30" s="337"/>
      <c r="D30" s="337"/>
      <c r="E30" s="337"/>
      <c r="F30" s="337"/>
      <c r="G30" s="337"/>
    </row>
    <row r="32" spans="2:7">
      <c r="B32" s="221" t="str">
        <f>Tr("FROM_WORD","From")</f>
        <v>From</v>
      </c>
      <c r="C32" s="221" t="str">
        <f>Tr("TO_WORD","To")</f>
        <v>To</v>
      </c>
    </row>
    <row r="33" spans="2:7">
      <c r="B33" s="350">
        <f>displayValue(Model_Home!$F$19,"DELTA")</f>
        <v>6</v>
      </c>
      <c r="C33" s="350">
        <f>displayValue(Model_Home!$F$21,"DELTA")</f>
        <v>14</v>
      </c>
      <c r="D33" s="216"/>
      <c r="E33" s="242">
        <f>VLOOKUP(displayValue(Model_Home!$F$19,"DELTA"),$B$20:$F$25,4)-VLOOKUP($C$33,$B$20:$F$25,4)</f>
        <v>1932.7082170786543</v>
      </c>
      <c r="F33" s="243">
        <f>VLOOKUP(displayValue(Model_Home!$F$19,"DELTA"),$B$20:$F$25,5)-VLOOKUP($C$33,$B$20:$F$25,5)</f>
        <v>19327.08217078654</v>
      </c>
      <c r="G33" s="243">
        <f>VLOOKUP(displayValue(Model_Home!$F$19,"DELTA"),$B$20:$G$25,6)-VLOOKUP($C$33,$B$20:$G$25,6)</f>
        <v>55682497.172814086</v>
      </c>
    </row>
    <row r="43" spans="2:7">
      <c r="B43" s="216" t="str">
        <f>Tr("ANNUAL_CO2_AVOIDED","Annual Carbon Dioxide Avoided")</f>
        <v>Annual Carbon Dioxide Avoided</v>
      </c>
      <c r="C43" s="216"/>
      <c r="D43" s="243">
        <f>displayValue(F28*1.555,"MASS")</f>
        <v>26155.152876295986</v>
      </c>
      <c r="E43" s="216" t="str">
        <f>UnitText("MASS")</f>
        <v>lbs</v>
      </c>
      <c r="F43" s="216"/>
    </row>
    <row r="44" spans="2:7">
      <c r="B44" s="216" t="str">
        <f>Tr("TREE_SEEDLINGS_10YR","Number of Tree Seedlings Grown for 10 Years")</f>
        <v>Number of Tree Seedlings Grown for 10 Years</v>
      </c>
      <c r="C44" s="216"/>
      <c r="D44" s="243">
        <f>(F28*1.555)*0.00045359237/0.039</f>
        <v>304.19943027875416</v>
      </c>
      <c r="E44" s="216" t="str">
        <f>Tr("TREE_SEEDLINGS_UNIT","tree seedlings")</f>
        <v>tree seedlings</v>
      </c>
      <c r="F44" s="216"/>
    </row>
    <row r="45" spans="2:7">
      <c r="B45" s="216" t="str">
        <f>Tr("EQUIV_HOMES_ELECTRICITY","Equivalent to Number of Houses' Annual Electricity Use")</f>
        <v>Equivalent to Number of Houses' Annual Electricity Use</v>
      </c>
      <c r="C45" s="216"/>
      <c r="D45" s="246">
        <f>F28*(0.097/1000)</f>
        <v>1.63154329839274</v>
      </c>
      <c r="E45" s="216" t="str">
        <f>Tr("HOMES_WORD","homes")</f>
        <v>homes</v>
      </c>
      <c r="F45" s="216"/>
    </row>
    <row r="52" spans="2:6">
      <c r="B52" s="216"/>
      <c r="C52" s="247" t="str">
        <f>Home!E65</f>
        <v>5 years</v>
      </c>
      <c r="D52" s="247" t="str">
        <f>Home!F65</f>
        <v>10 years</v>
      </c>
      <c r="E52" s="247" t="str">
        <f>Home!G65</f>
        <v>15 years</v>
      </c>
      <c r="F52" s="247" t="str">
        <f>Home!H65</f>
        <v>20 years</v>
      </c>
    </row>
    <row r="53" spans="2:6">
      <c r="B53" s="216" t="str">
        <f>Tr("NPV_LABEL","Net Present Value (NPV)")</f>
        <v>Net Present Value (NPV)</v>
      </c>
      <c r="C53" s="248">
        <f>Home!E66</f>
        <v>3487.9802987676776</v>
      </c>
      <c r="D53" s="248">
        <f>Home!F66</f>
        <v>9642.554281204817</v>
      </c>
      <c r="E53" s="248">
        <f>Home!G66</f>
        <v>14701.165467925755</v>
      </c>
      <c r="F53" s="248">
        <f>Home!H66</f>
        <v>18858.975124847784</v>
      </c>
    </row>
    <row r="54" spans="2:6">
      <c r="B54" s="216" t="str">
        <f>Tr("SIR_LABEL","Savings-Investment Ratio (SIR)")</f>
        <v>Savings-Investment Ratio (SIR)</v>
      </c>
      <c r="C54" s="249">
        <f>Home!E67</f>
        <v>1.8719950746919194</v>
      </c>
      <c r="D54" s="249">
        <f>Home!F67</f>
        <v>3.4106385703012041</v>
      </c>
      <c r="E54" s="249">
        <f>Home!G67</f>
        <v>4.6752913669814387</v>
      </c>
      <c r="F54" s="249">
        <f>Home!H67</f>
        <v>5.7147437812119461</v>
      </c>
    </row>
    <row r="55" spans="2:6">
      <c r="B55" s="216" t="str">
        <f>Tr("SIMPLE_PAYBACK_LABEL","Simple Payback Period")</f>
        <v>Simple Payback Period</v>
      </c>
      <c r="C55" s="220" t="str">
        <f>Home!E68</f>
        <v>2.4 years</v>
      </c>
      <c r="D55" s="220"/>
      <c r="E55" s="220"/>
      <c r="F55" s="220"/>
    </row>
    <row r="59" spans="2:6" ht="13.2" customHeight="1">
      <c r="B59" s="256"/>
      <c r="C59" s="256"/>
      <c r="D59" s="256"/>
      <c r="E59" s="256"/>
      <c r="F59" s="256"/>
    </row>
    <row r="60" spans="2:6" ht="13.8">
      <c r="B60" s="261" t="str">
        <f>Tr("REBATE_BASIS_HDR","Measure &amp; Operating Basis")</f>
        <v>Measure &amp; Operating Basis</v>
      </c>
      <c r="C60" s="260"/>
      <c r="D60" s="260"/>
      <c r="E60" s="260"/>
      <c r="F60" s="256"/>
    </row>
    <row r="61" spans="2:6">
      <c r="B61" s="262" t="str">
        <f>Tr("REBATE_BASELINE_DT","Baseline Delta-T (before)")</f>
        <v>Baseline Delta-T (before)</v>
      </c>
      <c r="C61" s="260"/>
      <c r="D61" s="263">
        <f>displayValue(Model_Home!$F$19,"DELTA")</f>
        <v>6</v>
      </c>
      <c r="E61" s="262" t="str">
        <f>UnitText("DELTA")</f>
        <v>°F</v>
      </c>
      <c r="F61" s="256"/>
    </row>
    <row r="62" spans="2:6">
      <c r="B62" s="262" t="str">
        <f>Tr("REBATE_POST_DT","Post-Retrofit Delta-T (after)")</f>
        <v>Post-Retrofit Delta-T (after)</v>
      </c>
      <c r="C62" s="260"/>
      <c r="D62" s="263">
        <f>displayValue(Model_Home!$F$20,"DELTA")</f>
        <v>12</v>
      </c>
      <c r="E62" s="262" t="str">
        <f>UnitText("DELTA")</f>
        <v>°F</v>
      </c>
      <c r="F62" s="256"/>
    </row>
    <row r="63" spans="2:6">
      <c r="B63" s="262" t="str">
        <f>Tr("REBATE_NUM_COILS","Number of Coils")</f>
        <v>Number of Coils</v>
      </c>
      <c r="C63" s="260"/>
      <c r="D63" s="264">
        <f>Home!$F$12</f>
        <v>1</v>
      </c>
      <c r="E63" s="260"/>
      <c r="F63" s="256"/>
    </row>
    <row r="64" spans="2:6">
      <c r="B64" s="265" t="str">
        <f>Tr("REBATE_ANNUAL_HOURS","Annual Operating Hours")</f>
        <v>Annual Operating Hours</v>
      </c>
      <c r="C64" s="216"/>
      <c r="D64" s="243">
        <f>Home!$F$37</f>
        <v>5496.5976408912193</v>
      </c>
      <c r="E64" s="265" t="str">
        <f>Tr("UNIT_HOURS","hours")</f>
        <v>hours</v>
      </c>
    </row>
    <row r="66" spans="2:5" ht="13.8">
      <c r="B66" s="266" t="str">
        <f>Tr("REBATE_ENERGY_HDR","Energy &amp; Demand Savings")</f>
        <v>Energy &amp; Demand Savings</v>
      </c>
      <c r="C66" s="216"/>
      <c r="D66" s="216"/>
      <c r="E66" s="216"/>
    </row>
    <row r="67" spans="2:5">
      <c r="B67" s="265" t="str">
        <f>Tr("REBATE_ANNUAL_KWH","Annual Electricity Savings")</f>
        <v>Annual Electricity Savings</v>
      </c>
      <c r="C67" s="216"/>
      <c r="D67" s="243">
        <f>$F$28</f>
        <v>16820.034004048866</v>
      </c>
      <c r="E67" s="265" t="str">
        <f>UnitText("ENERGY")</f>
        <v>kWh</v>
      </c>
    </row>
    <row r="68" spans="2:5">
      <c r="B68" s="265" t="str">
        <f>Tr("REBATE_AVG_KW","Average Demand Reduction")</f>
        <v>Average Demand Reduction</v>
      </c>
      <c r="C68" s="216"/>
      <c r="D68" s="267">
        <f>IF(Home!$F$37=0,"",$F$28/Home!$F$37)</f>
        <v>3.0600809997294367</v>
      </c>
      <c r="E68" s="265" t="str">
        <f>Tr("UNIT_KW_LABEL","kW")</f>
        <v>kW</v>
      </c>
    </row>
    <row r="69" spans="2:5">
      <c r="B69" s="265" t="str">
        <f>Tr("REBATE_PEAK_KW","Demand Reduction at Peak Load")</f>
        <v>Demand Reduction at Peak Load</v>
      </c>
      <c r="C69" s="216"/>
      <c r="D69" s="267">
        <f>VLOOKUP(Model_Home!$F$19,Model_Home!$J$1:$K$6,2)-VLOOKUP(Model_Home!$F$20,Model_Home!$J$1:$K$6,2)</f>
        <v>2.3854944534632034</v>
      </c>
      <c r="E69" s="265" t="str">
        <f>Tr("UNIT_KW_LABEL","kW")</f>
        <v>kW</v>
      </c>
    </row>
    <row r="70" spans="2:5">
      <c r="B70" s="265" t="str">
        <f>Tr("REBATE_ANNUAL_COST","Annual Cost Savings")</f>
        <v>Annual Cost Savings</v>
      </c>
      <c r="C70" s="216"/>
      <c r="D70" s="243">
        <f>$E$28</f>
        <v>1682.0034004048869</v>
      </c>
      <c r="E70" s="265" t="str">
        <f>"$"</f>
        <v>$</v>
      </c>
    </row>
    <row r="71" spans="2:5">
      <c r="B71" s="265" t="str">
        <f>Tr("REBATE_BASELINE_KWH","Baseline Annual Pump Energy")</f>
        <v>Baseline Annual Pump Energy</v>
      </c>
      <c r="C71" s="216"/>
      <c r="D71" s="243">
        <f>$C$16</f>
        <v>23591.038107915185</v>
      </c>
      <c r="E71" s="265" t="str">
        <f>UnitText("ENERGY")</f>
        <v>kWh</v>
      </c>
    </row>
    <row r="72" spans="2:5">
      <c r="B72" s="265" t="str">
        <f>Tr("REBATE_POST_KWH","Post-Retrofit Annual Pump Energy")</f>
        <v>Post-Retrofit Annual Pump Energy</v>
      </c>
      <c r="C72" s="216"/>
      <c r="D72" s="243">
        <f>$D$16</f>
        <v>6771.0041038663185</v>
      </c>
      <c r="E72" s="265" t="str">
        <f>UnitText("ENERGY")</f>
        <v>kWh</v>
      </c>
    </row>
    <row r="73" spans="2:5">
      <c r="B73" s="265" t="str">
        <f>Tr("REBATE_PCT_REDUCTION","Pump Energy Reduction")</f>
        <v>Pump Energy Reduction</v>
      </c>
      <c r="C73" s="216"/>
      <c r="D73" s="268">
        <f>IF($C$16=0,"",($C$16-$D$16)/$C$16)</f>
        <v>0.71298405466970383</v>
      </c>
      <c r="E73" s="216"/>
    </row>
    <row r="75" spans="2:5" ht="13.8">
      <c r="B75" s="266" t="str">
        <f>Tr("REBATE_LIFETIME_HDR","Lifetime &amp; Environmental")</f>
        <v>Lifetime &amp; Environmental</v>
      </c>
      <c r="C75" s="216"/>
      <c r="D75" s="216"/>
      <c r="E75" s="216"/>
    </row>
    <row r="76" spans="2:5">
      <c r="B76" s="265" t="str">
        <f>Tr("REBATE_MEASURE_LIFE","Estimated Measure Life")</f>
        <v>Estimated Measure Life</v>
      </c>
      <c r="C76" s="216"/>
      <c r="D76" s="269">
        <f>Home!$F$64</f>
        <v>15</v>
      </c>
      <c r="E76" s="265" t="str">
        <f>Tr("YEARS_WORD","years")</f>
        <v>years</v>
      </c>
    </row>
    <row r="77" spans="2:5">
      <c r="B77" s="265" t="str">
        <f>Tr("REBATE_LIFETIME_KWH","Lifetime Electricity Savings")</f>
        <v>Lifetime Electricity Savings</v>
      </c>
      <c r="C77" s="216"/>
      <c r="D77" s="243">
        <f>$F$28*Home!$F$64</f>
        <v>252300.51006073301</v>
      </c>
      <c r="E77" s="265" t="str">
        <f>UnitText("ENERGY")</f>
        <v>kWh</v>
      </c>
    </row>
    <row r="78" spans="2:5">
      <c r="B78" s="265" t="str">
        <f>Tr("REBATE_WATER","Annual Water Volume Reduction")</f>
        <v>Annual Water Volume Reduction</v>
      </c>
      <c r="C78" s="216"/>
      <c r="D78" s="243">
        <f>$G$28</f>
        <v>44728563.302752301</v>
      </c>
      <c r="E78" s="265" t="str">
        <f>UnitText("VOLUME")</f>
        <v>gallons</v>
      </c>
    </row>
    <row r="79" spans="2:5">
      <c r="B79" s="265" t="str">
        <f>Tr("ANNUAL_CO2_AVOIDED","Annual Carbon Dioxide Avoided")</f>
        <v>Annual Carbon Dioxide Avoided</v>
      </c>
      <c r="C79" s="216"/>
      <c r="D79" s="243">
        <f>$D$43</f>
        <v>26155.152876295986</v>
      </c>
      <c r="E79" s="265" t="str">
        <f>UnitText("MASS")</f>
        <v>lbs</v>
      </c>
    </row>
    <row r="81" spans="2:6">
      <c r="B81" s="338" t="str">
        <f>Tr("UTILITY_REBATE_TEXT","The energy savings and carbon dioxide reduction figures above reflect the transition from your Actual to Future Delta-T setting.")</f>
        <v>Savings are calculated from pump affinity laws applied to the coil's load profile across the operating year. Baseline and post-retrofit pump energy are computed at the Actual and Future Delta-T respectively, using the site's own operating hours, pump head, motor/VFD efficiency and electricity rate entered on the Home sheet. Demand reduction at peak load is the difference in maximum pump input power between the two cases; average demand reduction is annual energy saved divided by annual operating hours. These figures are suitable for submission to utility rebate and incentive programs.</v>
      </c>
      <c r="C81" s="339"/>
      <c r="D81" s="339"/>
      <c r="E81" s="339"/>
      <c r="F81" s="339"/>
    </row>
    <row r="82" spans="2:6">
      <c r="B82" s="339"/>
      <c r="C82" s="339"/>
      <c r="D82" s="339"/>
      <c r="E82" s="339"/>
      <c r="F82" s="339"/>
    </row>
    <row r="83" spans="2:6">
      <c r="B83" s="339"/>
      <c r="C83" s="339"/>
      <c r="D83" s="339"/>
      <c r="E83" s="339"/>
      <c r="F83" s="339"/>
    </row>
    <row r="84" spans="2:6">
      <c r="B84" s="339"/>
      <c r="C84" s="339"/>
      <c r="D84" s="339"/>
      <c r="E84" s="339"/>
      <c r="F84" s="339"/>
    </row>
    <row r="85" spans="2:6">
      <c r="B85" s="339"/>
      <c r="C85" s="339"/>
      <c r="D85" s="339"/>
      <c r="E85" s="339"/>
      <c r="F85" s="339"/>
    </row>
  </sheetData>
  <sheetProtection algorithmName="SHA-512" hashValue="3QK39r+mwi+VfFsUVlSU5AuQ/J7r6ZlWt+6swqMk/zOeIhZSEWJ740Qo38fNg1oAaoMdcht/7v9Hh+3fAPTeYQ==" saltValue="cRL4LI0NE0KezSVvKzST2A==" spinCount="100000" sheet="1" scenarios="1"/>
  <mergeCells count="3">
    <mergeCell ref="B27:D28"/>
    <mergeCell ref="B30:G30"/>
    <mergeCell ref="B81:F85"/>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6" r:id="rId3" name="SpinButton1">
              <controlPr defaultSize="0" autoPict="0" macro="[0]!SpinButton1_Click">
                <anchor moveWithCells="1" sizeWithCells="1">
                  <from>
                    <xdr:col>1</xdr:col>
                    <xdr:colOff>0</xdr:colOff>
                    <xdr:row>35</xdr:row>
                    <xdr:rowOff>0</xdr:rowOff>
                  </from>
                  <to>
                    <xdr:col>1</xdr:col>
                    <xdr:colOff>1493520</xdr:colOff>
                    <xdr:row>36</xdr:row>
                    <xdr:rowOff>99060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47C797-A3CE-46AD-B757-85E604E527EC}">
  <sheetPr codeName="InfoText"/>
  <dimension ref="A1:F41"/>
  <sheetViews>
    <sheetView zoomScale="80" zoomScaleNormal="80" workbookViewId="0">
      <selection activeCell="B7" sqref="B7"/>
    </sheetView>
  </sheetViews>
  <sheetFormatPr defaultColWidth="8.5546875" defaultRowHeight="13.2"/>
  <cols>
    <col min="1" max="1" width="25.5546875" style="125" customWidth="1"/>
    <col min="2" max="2" width="18" style="125" customWidth="1"/>
    <col min="3" max="3" width="89.33203125" style="130" customWidth="1"/>
    <col min="4" max="16384" width="8.5546875" style="125"/>
  </cols>
  <sheetData>
    <row r="1" spans="1:6" ht="14.4">
      <c r="A1" s="123" t="s">
        <v>80</v>
      </c>
      <c r="B1" s="123" t="s">
        <v>81</v>
      </c>
      <c r="C1" s="124" t="s">
        <v>82</v>
      </c>
      <c r="D1" s="125" t="s">
        <v>158</v>
      </c>
      <c r="E1" s="125" t="s">
        <v>159</v>
      </c>
      <c r="F1" s="125" t="s">
        <v>160</v>
      </c>
    </row>
    <row r="2" spans="1:6" ht="14.4">
      <c r="A2" s="153" t="s">
        <v>92</v>
      </c>
      <c r="B2" s="153" t="s">
        <v>862</v>
      </c>
      <c r="C2" s="154" t="s">
        <v>94</v>
      </c>
      <c r="D2" s="125" t="s">
        <v>328</v>
      </c>
      <c r="E2" s="125" t="s">
        <v>329</v>
      </c>
      <c r="F2" s="125" t="s">
        <v>330</v>
      </c>
    </row>
    <row r="3" spans="1:6" ht="14.4">
      <c r="A3" s="153" t="s">
        <v>92</v>
      </c>
      <c r="B3" s="167" t="s">
        <v>863</v>
      </c>
      <c r="C3" s="154" t="s">
        <v>93</v>
      </c>
      <c r="D3" s="125" t="s">
        <v>331</v>
      </c>
      <c r="E3" s="125" t="s">
        <v>332</v>
      </c>
      <c r="F3" s="125" t="s">
        <v>333</v>
      </c>
    </row>
    <row r="4" spans="1:6" ht="14.4">
      <c r="A4" s="196" t="s">
        <v>861</v>
      </c>
      <c r="B4" s="197" t="s">
        <v>864</v>
      </c>
      <c r="C4" s="198" t="s">
        <v>155</v>
      </c>
      <c r="D4" s="125" t="s">
        <v>334</v>
      </c>
      <c r="E4" s="125" t="s">
        <v>335</v>
      </c>
      <c r="F4" s="125" t="s">
        <v>336</v>
      </c>
    </row>
    <row r="5" spans="1:6" ht="14.4">
      <c r="A5" s="196" t="s">
        <v>861</v>
      </c>
      <c r="B5" s="197" t="s">
        <v>865</v>
      </c>
      <c r="C5" s="198" t="s">
        <v>155</v>
      </c>
      <c r="D5" s="125" t="s">
        <v>334</v>
      </c>
      <c r="E5" s="125" t="s">
        <v>335</v>
      </c>
      <c r="F5" s="125" t="s">
        <v>336</v>
      </c>
    </row>
    <row r="6" spans="1:6" ht="14.4">
      <c r="A6" s="196" t="s">
        <v>861</v>
      </c>
      <c r="B6" s="197" t="s">
        <v>866</v>
      </c>
      <c r="C6" s="198" t="s">
        <v>156</v>
      </c>
      <c r="D6" s="125" t="s">
        <v>337</v>
      </c>
      <c r="E6" s="125" t="s">
        <v>338</v>
      </c>
      <c r="F6" s="125" t="s">
        <v>339</v>
      </c>
    </row>
    <row r="7" spans="1:6" ht="18.75" customHeight="1">
      <c r="A7" s="196" t="s">
        <v>147</v>
      </c>
      <c r="B7" s="127" t="s">
        <v>88</v>
      </c>
      <c r="C7" s="127" t="s">
        <v>91</v>
      </c>
      <c r="D7" s="125" t="s">
        <v>340</v>
      </c>
      <c r="E7" s="125" t="s">
        <v>341</v>
      </c>
      <c r="F7" s="125" t="s">
        <v>342</v>
      </c>
    </row>
    <row r="8" spans="1:6" ht="14.4">
      <c r="A8" s="196" t="s">
        <v>147</v>
      </c>
      <c r="B8" s="152" t="s">
        <v>89</v>
      </c>
      <c r="C8" s="127" t="s">
        <v>90</v>
      </c>
      <c r="D8" s="125" t="s">
        <v>343</v>
      </c>
      <c r="E8" s="125" t="s">
        <v>344</v>
      </c>
      <c r="F8" s="125" t="s">
        <v>345</v>
      </c>
    </row>
    <row r="9" spans="1:6" ht="14.4">
      <c r="A9" s="196"/>
      <c r="B9" s="127"/>
      <c r="C9" s="127"/>
    </row>
    <row r="10" spans="1:6">
      <c r="A10" s="127" t="s">
        <v>861</v>
      </c>
      <c r="B10" s="127" t="s">
        <v>867</v>
      </c>
      <c r="C10" s="127" t="s">
        <v>148</v>
      </c>
      <c r="D10" s="125" t="s">
        <v>346</v>
      </c>
      <c r="E10" s="125" t="s">
        <v>347</v>
      </c>
      <c r="F10" s="125" t="s">
        <v>348</v>
      </c>
    </row>
    <row r="11" spans="1:6" ht="409.6">
      <c r="A11" s="127" t="s">
        <v>92</v>
      </c>
      <c r="B11" s="127" t="s">
        <v>1010</v>
      </c>
      <c r="C11" s="128" t="s">
        <v>1011</v>
      </c>
      <c r="D11" s="130" t="s">
        <v>1012</v>
      </c>
      <c r="E11" s="130" t="s">
        <v>1013</v>
      </c>
      <c r="F11" s="130" t="s">
        <v>1014</v>
      </c>
    </row>
    <row r="12" spans="1:6" ht="409.6">
      <c r="A12" s="127" t="s">
        <v>92</v>
      </c>
      <c r="B12" s="127" t="s">
        <v>1015</v>
      </c>
      <c r="C12" s="128" t="s">
        <v>1016</v>
      </c>
      <c r="D12" s="130" t="s">
        <v>1017</v>
      </c>
      <c r="E12" s="130" t="s">
        <v>1018</v>
      </c>
      <c r="F12" s="130" t="s">
        <v>1019</v>
      </c>
    </row>
    <row r="13" spans="1:6" ht="409.6">
      <c r="A13" s="127" t="s">
        <v>92</v>
      </c>
      <c r="B13" s="127" t="s">
        <v>1020</v>
      </c>
      <c r="C13" s="128" t="s">
        <v>1021</v>
      </c>
      <c r="D13" s="130" t="s">
        <v>1022</v>
      </c>
      <c r="E13" s="130" t="s">
        <v>1023</v>
      </c>
      <c r="F13" s="130" t="s">
        <v>1024</v>
      </c>
    </row>
    <row r="14" spans="1:6">
      <c r="A14" s="127"/>
      <c r="B14" s="127"/>
      <c r="C14" s="128"/>
    </row>
    <row r="15" spans="1:6">
      <c r="A15" s="127"/>
      <c r="B15" s="127"/>
      <c r="C15" s="128"/>
    </row>
    <row r="16" spans="1:6">
      <c r="A16" s="127"/>
      <c r="B16" s="127"/>
      <c r="C16" s="128"/>
    </row>
    <row r="17" spans="1:3">
      <c r="A17" s="127"/>
      <c r="B17" s="127"/>
      <c r="C17" s="128"/>
    </row>
    <row r="18" spans="1:3">
      <c r="A18" s="127"/>
      <c r="B18" s="127"/>
      <c r="C18" s="128"/>
    </row>
    <row r="19" spans="1:3">
      <c r="A19" s="127"/>
      <c r="B19" s="127"/>
      <c r="C19" s="128"/>
    </row>
    <row r="20" spans="1:3">
      <c r="A20" s="127"/>
      <c r="B20" s="127"/>
      <c r="C20" s="128"/>
    </row>
    <row r="21" spans="1:3">
      <c r="A21" s="127"/>
      <c r="B21" s="127"/>
      <c r="C21" s="128"/>
    </row>
    <row r="22" spans="1:3">
      <c r="A22" s="127"/>
      <c r="B22" s="127"/>
      <c r="C22" s="128"/>
    </row>
    <row r="23" spans="1:3">
      <c r="A23" s="127"/>
      <c r="B23" s="127"/>
      <c r="C23" s="128"/>
    </row>
    <row r="24" spans="1:3">
      <c r="A24" s="127"/>
      <c r="B24" s="127"/>
      <c r="C24" s="128"/>
    </row>
    <row r="25" spans="1:3">
      <c r="A25" s="127"/>
      <c r="B25" s="127"/>
      <c r="C25" s="128"/>
    </row>
    <row r="26" spans="1:3">
      <c r="A26" s="127"/>
      <c r="B26" s="127"/>
      <c r="C26" s="128"/>
    </row>
    <row r="27" spans="1:3" ht="14.4">
      <c r="A27" s="126"/>
      <c r="B27" s="126"/>
      <c r="C27" s="129"/>
    </row>
    <row r="28" spans="1:3" ht="14.4">
      <c r="A28" s="126"/>
      <c r="B28" s="126"/>
      <c r="C28" s="129"/>
    </row>
    <row r="29" spans="1:3" ht="14.4">
      <c r="A29" s="126"/>
      <c r="B29" s="126"/>
      <c r="C29" s="129"/>
    </row>
    <row r="30" spans="1:3" ht="14.4">
      <c r="A30" s="126"/>
      <c r="B30" s="126"/>
    </row>
    <row r="31" spans="1:3" ht="14.4">
      <c r="A31" s="126"/>
      <c r="B31" s="126"/>
      <c r="C31" s="129"/>
    </row>
    <row r="32" spans="1:3" ht="14.4">
      <c r="A32" s="126"/>
      <c r="B32" s="126"/>
      <c r="C32" s="129"/>
    </row>
    <row r="33" spans="1:3" ht="14.4">
      <c r="A33" s="126"/>
      <c r="B33" s="126"/>
      <c r="C33" s="129"/>
    </row>
    <row r="34" spans="1:3" ht="14.4">
      <c r="A34" s="126"/>
      <c r="B34" s="126"/>
      <c r="C34" s="129"/>
    </row>
    <row r="35" spans="1:3" ht="14.4">
      <c r="A35" s="126"/>
      <c r="B35" s="126"/>
      <c r="C35" s="129"/>
    </row>
    <row r="36" spans="1:3" ht="14.4">
      <c r="A36" s="126"/>
      <c r="B36" s="126"/>
      <c r="C36" s="129"/>
    </row>
    <row r="37" spans="1:3" ht="14.4">
      <c r="A37" s="126"/>
      <c r="B37" s="126"/>
    </row>
    <row r="38" spans="1:3" ht="14.4">
      <c r="A38" s="126"/>
      <c r="B38" s="126"/>
    </row>
    <row r="39" spans="1:3" ht="14.4">
      <c r="A39" s="126"/>
      <c r="B39" s="126"/>
    </row>
    <row r="40" spans="1:3" ht="14.4">
      <c r="B40" s="126"/>
    </row>
    <row r="41" spans="1:3" ht="14.4">
      <c r="B41" s="126"/>
    </row>
  </sheetData>
  <sheetProtection algorithmName="SHA-512" hashValue="Etk3hbv76+Yfe5Wib3EaTHeHtcnljRllhXqzI4oU3cFcF8dsFcszfivWYdzh87U+tc0IKQxI9/3XWptVwdtWWg==" saltValue="0pH4KdG7555cn69OrD2cGA==" spinCount="100000" sheet="1" objects="1" scenarios="1"/>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F4A7FB-320F-4164-B456-AEA45AFEDF80}">
  <sheetPr codeName="Sheet3"/>
  <dimension ref="A1:Z211"/>
  <sheetViews>
    <sheetView workbookViewId="0"/>
  </sheetViews>
  <sheetFormatPr defaultRowHeight="13.2"/>
  <sheetData>
    <row r="1" spans="1:26">
      <c r="A1" t="s">
        <v>157</v>
      </c>
      <c r="B1" t="s">
        <v>327</v>
      </c>
      <c r="C1" t="s">
        <v>349</v>
      </c>
      <c r="D1" t="s">
        <v>350</v>
      </c>
      <c r="E1" t="s">
        <v>351</v>
      </c>
      <c r="Z1" s="199"/>
    </row>
    <row r="2" spans="1:26">
      <c r="A2" t="s">
        <v>161</v>
      </c>
      <c r="B2" t="s">
        <v>162</v>
      </c>
      <c r="C2" t="s">
        <v>163</v>
      </c>
      <c r="D2" t="s">
        <v>163</v>
      </c>
      <c r="E2" t="s">
        <v>164</v>
      </c>
    </row>
    <row r="3" spans="1:26">
      <c r="A3" t="s">
        <v>165</v>
      </c>
      <c r="B3" t="s">
        <v>166</v>
      </c>
      <c r="C3" t="s">
        <v>167</v>
      </c>
      <c r="D3" t="s">
        <v>167</v>
      </c>
      <c r="E3" t="s">
        <v>168</v>
      </c>
    </row>
    <row r="4" spans="1:26">
      <c r="A4" t="s">
        <v>169</v>
      </c>
      <c r="B4" t="s">
        <v>0</v>
      </c>
      <c r="C4" t="s">
        <v>170</v>
      </c>
      <c r="D4" t="s">
        <v>170</v>
      </c>
      <c r="E4" t="s">
        <v>171</v>
      </c>
    </row>
    <row r="5" spans="1:26">
      <c r="A5" t="s">
        <v>172</v>
      </c>
      <c r="B5" t="s">
        <v>1</v>
      </c>
      <c r="C5" t="s">
        <v>173</v>
      </c>
      <c r="D5" t="s">
        <v>174</v>
      </c>
      <c r="E5" t="s">
        <v>175</v>
      </c>
    </row>
    <row r="6" spans="1:26">
      <c r="A6" t="s">
        <v>176</v>
      </c>
      <c r="B6" t="s">
        <v>2</v>
      </c>
      <c r="C6" t="s">
        <v>177</v>
      </c>
      <c r="D6" t="s">
        <v>178</v>
      </c>
      <c r="E6" t="s">
        <v>179</v>
      </c>
    </row>
    <row r="7" spans="1:26">
      <c r="A7" t="s">
        <v>180</v>
      </c>
      <c r="B7" t="s">
        <v>181</v>
      </c>
      <c r="C7" t="s">
        <v>182</v>
      </c>
      <c r="D7" t="s">
        <v>183</v>
      </c>
      <c r="E7" t="s">
        <v>184</v>
      </c>
    </row>
    <row r="8" spans="1:26">
      <c r="A8" t="s">
        <v>185</v>
      </c>
      <c r="B8" t="s">
        <v>54</v>
      </c>
      <c r="C8" t="s">
        <v>186</v>
      </c>
      <c r="D8" t="s">
        <v>186</v>
      </c>
      <c r="E8" t="s">
        <v>187</v>
      </c>
    </row>
    <row r="9" spans="1:26">
      <c r="A9" t="s">
        <v>188</v>
      </c>
      <c r="B9" t="s">
        <v>5</v>
      </c>
      <c r="C9" t="s">
        <v>189</v>
      </c>
      <c r="D9" t="s">
        <v>190</v>
      </c>
      <c r="E9" t="s">
        <v>191</v>
      </c>
    </row>
    <row r="10" spans="1:26">
      <c r="A10" t="s">
        <v>192</v>
      </c>
      <c r="B10" t="s">
        <v>7</v>
      </c>
      <c r="C10" t="s">
        <v>193</v>
      </c>
      <c r="D10" t="s">
        <v>194</v>
      </c>
      <c r="E10" t="s">
        <v>195</v>
      </c>
    </row>
    <row r="11" spans="1:26">
      <c r="A11" t="s">
        <v>196</v>
      </c>
      <c r="B11" t="s">
        <v>99</v>
      </c>
      <c r="C11" t="s">
        <v>197</v>
      </c>
      <c r="D11" t="s">
        <v>198</v>
      </c>
      <c r="E11" t="s">
        <v>199</v>
      </c>
    </row>
    <row r="12" spans="1:26">
      <c r="A12" t="s">
        <v>200</v>
      </c>
      <c r="B12" t="s">
        <v>9</v>
      </c>
      <c r="C12" t="s">
        <v>201</v>
      </c>
      <c r="D12" t="s">
        <v>202</v>
      </c>
      <c r="E12" t="s">
        <v>203</v>
      </c>
    </row>
    <row r="13" spans="1:26">
      <c r="A13" t="s">
        <v>204</v>
      </c>
      <c r="B13" t="s">
        <v>10</v>
      </c>
      <c r="C13" t="s">
        <v>205</v>
      </c>
      <c r="D13" t="s">
        <v>206</v>
      </c>
      <c r="E13" t="s">
        <v>207</v>
      </c>
    </row>
    <row r="14" spans="1:26">
      <c r="A14" t="s">
        <v>208</v>
      </c>
      <c r="B14" t="s">
        <v>12</v>
      </c>
      <c r="C14" t="s">
        <v>209</v>
      </c>
      <c r="D14" t="s">
        <v>210</v>
      </c>
      <c r="E14" t="s">
        <v>211</v>
      </c>
    </row>
    <row r="15" spans="1:26">
      <c r="A15" t="s">
        <v>212</v>
      </c>
      <c r="B15" t="s">
        <v>97</v>
      </c>
      <c r="C15" t="s">
        <v>213</v>
      </c>
      <c r="D15" t="s">
        <v>214</v>
      </c>
      <c r="E15" t="s">
        <v>215</v>
      </c>
    </row>
    <row r="16" spans="1:26">
      <c r="A16" t="s">
        <v>216</v>
      </c>
      <c r="B16" t="s">
        <v>13</v>
      </c>
      <c r="C16" t="s">
        <v>217</v>
      </c>
      <c r="D16" t="s">
        <v>218</v>
      </c>
      <c r="E16" t="s">
        <v>219</v>
      </c>
    </row>
    <row r="17" spans="1:26">
      <c r="A17" t="s">
        <v>220</v>
      </c>
      <c r="B17" t="s">
        <v>14</v>
      </c>
      <c r="C17" t="s">
        <v>221</v>
      </c>
      <c r="D17" t="s">
        <v>222</v>
      </c>
      <c r="E17" t="s">
        <v>223</v>
      </c>
    </row>
    <row r="18" spans="1:26">
      <c r="A18" t="s">
        <v>224</v>
      </c>
      <c r="B18" t="s">
        <v>15</v>
      </c>
      <c r="C18" t="s">
        <v>225</v>
      </c>
      <c r="D18" t="s">
        <v>226</v>
      </c>
      <c r="E18" t="s">
        <v>227</v>
      </c>
    </row>
    <row r="19" spans="1:26">
      <c r="A19" t="s">
        <v>228</v>
      </c>
      <c r="B19" t="s">
        <v>16</v>
      </c>
      <c r="C19" t="s">
        <v>229</v>
      </c>
      <c r="D19" t="s">
        <v>230</v>
      </c>
      <c r="E19" t="s">
        <v>231</v>
      </c>
    </row>
    <row r="20" spans="1:26">
      <c r="A20" t="s">
        <v>232</v>
      </c>
      <c r="B20" t="s">
        <v>17</v>
      </c>
      <c r="C20" t="s">
        <v>233</v>
      </c>
      <c r="D20" t="s">
        <v>234</v>
      </c>
      <c r="E20" t="s">
        <v>235</v>
      </c>
    </row>
    <row r="21" spans="1:26">
      <c r="A21" t="s">
        <v>236</v>
      </c>
      <c r="B21" t="s">
        <v>19</v>
      </c>
      <c r="C21" t="s">
        <v>237</v>
      </c>
      <c r="D21" t="s">
        <v>238</v>
      </c>
      <c r="E21" t="s">
        <v>19</v>
      </c>
    </row>
    <row r="22" spans="1:26">
      <c r="A22" t="s">
        <v>239</v>
      </c>
      <c r="B22" t="s">
        <v>20</v>
      </c>
      <c r="C22" t="s">
        <v>240</v>
      </c>
      <c r="D22" t="s">
        <v>241</v>
      </c>
      <c r="E22" t="s">
        <v>242</v>
      </c>
    </row>
    <row r="23" spans="1:26">
      <c r="A23" t="s">
        <v>243</v>
      </c>
      <c r="B23" t="s">
        <v>21</v>
      </c>
      <c r="C23" t="s">
        <v>244</v>
      </c>
      <c r="D23" t="s">
        <v>244</v>
      </c>
      <c r="E23" t="s">
        <v>245</v>
      </c>
    </row>
    <row r="24" spans="1:26">
      <c r="A24" t="s">
        <v>246</v>
      </c>
      <c r="B24" t="s">
        <v>22</v>
      </c>
      <c r="C24" t="s">
        <v>247</v>
      </c>
      <c r="D24" t="s">
        <v>248</v>
      </c>
      <c r="E24" t="s">
        <v>249</v>
      </c>
    </row>
    <row r="25" spans="1:26">
      <c r="A25" t="s">
        <v>250</v>
      </c>
      <c r="B25" t="s">
        <v>23</v>
      </c>
      <c r="C25" t="s">
        <v>251</v>
      </c>
      <c r="D25" t="s">
        <v>252</v>
      </c>
      <c r="E25" t="s">
        <v>253</v>
      </c>
    </row>
    <row r="26" spans="1:26">
      <c r="A26" t="s">
        <v>254</v>
      </c>
      <c r="B26" t="s">
        <v>25</v>
      </c>
      <c r="C26" t="s">
        <v>255</v>
      </c>
      <c r="D26" t="s">
        <v>256</v>
      </c>
      <c r="E26" t="s">
        <v>257</v>
      </c>
    </row>
    <row r="27" spans="1:26">
      <c r="A27" t="s">
        <v>258</v>
      </c>
      <c r="B27" t="s">
        <v>27</v>
      </c>
      <c r="C27" t="s">
        <v>259</v>
      </c>
      <c r="D27" t="s">
        <v>259</v>
      </c>
      <c r="E27" t="s">
        <v>260</v>
      </c>
    </row>
    <row r="28" spans="1:26">
      <c r="A28" t="s">
        <v>261</v>
      </c>
      <c r="B28" t="s">
        <v>29</v>
      </c>
      <c r="C28" t="s">
        <v>262</v>
      </c>
      <c r="D28" t="s">
        <v>263</v>
      </c>
      <c r="E28" t="s">
        <v>264</v>
      </c>
    </row>
    <row r="29" spans="1:26">
      <c r="A29" t="s">
        <v>265</v>
      </c>
      <c r="B29" t="s">
        <v>31</v>
      </c>
      <c r="C29" t="s">
        <v>266</v>
      </c>
      <c r="D29" t="s">
        <v>266</v>
      </c>
      <c r="E29" t="s">
        <v>31</v>
      </c>
    </row>
    <row r="30" spans="1:26">
      <c r="A30" t="s">
        <v>267</v>
      </c>
      <c r="B30" t="s">
        <v>32</v>
      </c>
      <c r="C30" t="s">
        <v>268</v>
      </c>
      <c r="D30" t="s">
        <v>269</v>
      </c>
      <c r="E30" t="s">
        <v>270</v>
      </c>
      <c r="Z30" s="199"/>
    </row>
    <row r="31" spans="1:26">
      <c r="A31" t="s">
        <v>271</v>
      </c>
      <c r="B31" t="s">
        <v>33</v>
      </c>
      <c r="C31" t="s">
        <v>272</v>
      </c>
      <c r="D31" t="s">
        <v>273</v>
      </c>
      <c r="E31" t="s">
        <v>274</v>
      </c>
    </row>
    <row r="32" spans="1:26">
      <c r="A32" t="s">
        <v>275</v>
      </c>
      <c r="B32" t="s">
        <v>34</v>
      </c>
      <c r="C32" t="s">
        <v>276</v>
      </c>
      <c r="D32" t="s">
        <v>276</v>
      </c>
      <c r="E32" t="s">
        <v>277</v>
      </c>
    </row>
    <row r="33" spans="1:26">
      <c r="A33" t="s">
        <v>278</v>
      </c>
      <c r="B33" t="s">
        <v>98</v>
      </c>
      <c r="C33" t="s">
        <v>279</v>
      </c>
      <c r="D33" t="s">
        <v>280</v>
      </c>
      <c r="E33" t="s">
        <v>281</v>
      </c>
    </row>
    <row r="34" spans="1:26">
      <c r="A34" t="s">
        <v>282</v>
      </c>
      <c r="B34" t="s">
        <v>18</v>
      </c>
      <c r="C34" t="s">
        <v>283</v>
      </c>
      <c r="D34" t="s">
        <v>284</v>
      </c>
      <c r="E34" t="s">
        <v>285</v>
      </c>
    </row>
    <row r="35" spans="1:26">
      <c r="A35" t="s">
        <v>286</v>
      </c>
      <c r="B35" t="s">
        <v>35</v>
      </c>
      <c r="C35" t="s">
        <v>35</v>
      </c>
      <c r="D35" t="s">
        <v>35</v>
      </c>
      <c r="E35" t="s">
        <v>287</v>
      </c>
    </row>
    <row r="36" spans="1:26">
      <c r="A36" t="s">
        <v>288</v>
      </c>
      <c r="B36" t="s">
        <v>36</v>
      </c>
      <c r="C36" t="s">
        <v>289</v>
      </c>
      <c r="D36" t="s">
        <v>290</v>
      </c>
      <c r="E36" t="s">
        <v>291</v>
      </c>
    </row>
    <row r="37" spans="1:26">
      <c r="A37" t="s">
        <v>292</v>
      </c>
      <c r="B37" t="s">
        <v>37</v>
      </c>
      <c r="C37" t="s">
        <v>293</v>
      </c>
      <c r="D37" t="s">
        <v>293</v>
      </c>
      <c r="E37" t="s">
        <v>294</v>
      </c>
    </row>
    <row r="38" spans="1:26">
      <c r="A38" t="s">
        <v>295</v>
      </c>
      <c r="B38" t="s">
        <v>38</v>
      </c>
      <c r="C38" t="s">
        <v>296</v>
      </c>
      <c r="D38" t="s">
        <v>297</v>
      </c>
      <c r="E38" t="s">
        <v>298</v>
      </c>
    </row>
    <row r="39" spans="1:26">
      <c r="A39" t="s">
        <v>299</v>
      </c>
      <c r="B39" t="s">
        <v>39</v>
      </c>
      <c r="C39" t="s">
        <v>300</v>
      </c>
      <c r="D39" t="s">
        <v>301</v>
      </c>
      <c r="E39" t="s">
        <v>302</v>
      </c>
    </row>
    <row r="40" spans="1:26">
      <c r="A40" t="s">
        <v>303</v>
      </c>
      <c r="B40" t="s">
        <v>304</v>
      </c>
      <c r="C40" t="s">
        <v>305</v>
      </c>
      <c r="D40" t="s">
        <v>306</v>
      </c>
      <c r="E40" t="s">
        <v>307</v>
      </c>
    </row>
    <row r="41" spans="1:26">
      <c r="A41" t="s">
        <v>308</v>
      </c>
      <c r="B41" t="s">
        <v>40</v>
      </c>
      <c r="C41" t="s">
        <v>309</v>
      </c>
      <c r="D41" t="s">
        <v>310</v>
      </c>
      <c r="E41" t="s">
        <v>311</v>
      </c>
      <c r="Z41" s="199"/>
    </row>
    <row r="42" spans="1:26">
      <c r="A42" t="s">
        <v>312</v>
      </c>
      <c r="B42" t="s">
        <v>41</v>
      </c>
      <c r="C42" t="s">
        <v>313</v>
      </c>
      <c r="D42" t="s">
        <v>313</v>
      </c>
      <c r="E42" t="s">
        <v>314</v>
      </c>
    </row>
    <row r="43" spans="1:26">
      <c r="A43" t="s">
        <v>315</v>
      </c>
      <c r="B43" t="s">
        <v>316</v>
      </c>
      <c r="C43" t="s">
        <v>317</v>
      </c>
      <c r="D43" t="s">
        <v>317</v>
      </c>
      <c r="E43" t="s">
        <v>318</v>
      </c>
    </row>
    <row r="44" spans="1:26">
      <c r="A44" t="s">
        <v>319</v>
      </c>
      <c r="B44" t="s">
        <v>42</v>
      </c>
      <c r="C44" t="s">
        <v>320</v>
      </c>
      <c r="D44" t="s">
        <v>321</v>
      </c>
      <c r="E44" t="s">
        <v>322</v>
      </c>
    </row>
    <row r="45" spans="1:26">
      <c r="A45" t="s">
        <v>323</v>
      </c>
      <c r="B45" t="s">
        <v>43</v>
      </c>
      <c r="C45" t="s">
        <v>324</v>
      </c>
      <c r="D45" t="s">
        <v>325</v>
      </c>
      <c r="E45" t="s">
        <v>326</v>
      </c>
    </row>
    <row r="46" spans="1:26">
      <c r="A46" t="s">
        <v>352</v>
      </c>
      <c r="B46" t="s">
        <v>891</v>
      </c>
      <c r="C46" t="s">
        <v>892</v>
      </c>
      <c r="D46" t="s">
        <v>892</v>
      </c>
      <c r="E46" t="s">
        <v>893</v>
      </c>
    </row>
    <row r="47" spans="1:26">
      <c r="A47" t="s">
        <v>353</v>
      </c>
      <c r="B47" t="s">
        <v>49</v>
      </c>
      <c r="C47" t="s">
        <v>354</v>
      </c>
      <c r="D47" t="s">
        <v>355</v>
      </c>
      <c r="E47" t="s">
        <v>356</v>
      </c>
    </row>
    <row r="48" spans="1:26">
      <c r="A48" t="s">
        <v>357</v>
      </c>
      <c r="B48" t="s">
        <v>1025</v>
      </c>
      <c r="C48" t="s">
        <v>1026</v>
      </c>
      <c r="D48" t="s">
        <v>1027</v>
      </c>
      <c r="E48" t="s">
        <v>1028</v>
      </c>
    </row>
    <row r="49" spans="1:5">
      <c r="A49" t="s">
        <v>358</v>
      </c>
      <c r="B49" t="s">
        <v>1032</v>
      </c>
      <c r="C49" t="s">
        <v>1033</v>
      </c>
      <c r="D49" t="s">
        <v>1033</v>
      </c>
      <c r="E49" t="s">
        <v>1034</v>
      </c>
    </row>
    <row r="50" spans="1:5">
      <c r="A50" t="s">
        <v>359</v>
      </c>
      <c r="B50" t="s">
        <v>1035</v>
      </c>
      <c r="C50" t="s">
        <v>1036</v>
      </c>
      <c r="D50" t="s">
        <v>1037</v>
      </c>
      <c r="E50" t="s">
        <v>1038</v>
      </c>
    </row>
    <row r="51" spans="1:5">
      <c r="A51" t="s">
        <v>360</v>
      </c>
      <c r="B51" t="s">
        <v>48</v>
      </c>
      <c r="C51" t="s">
        <v>361</v>
      </c>
      <c r="D51" t="s">
        <v>362</v>
      </c>
      <c r="E51" t="s">
        <v>363</v>
      </c>
    </row>
    <row r="52" spans="1:5">
      <c r="A52" t="s">
        <v>364</v>
      </c>
      <c r="B52" t="s">
        <v>50</v>
      </c>
      <c r="C52" t="s">
        <v>365</v>
      </c>
      <c r="D52" t="s">
        <v>366</v>
      </c>
      <c r="E52" t="s">
        <v>367</v>
      </c>
    </row>
    <row r="53" spans="1:5">
      <c r="A53" t="s">
        <v>368</v>
      </c>
      <c r="B53" t="s">
        <v>45</v>
      </c>
      <c r="C53" t="s">
        <v>369</v>
      </c>
      <c r="D53" t="s">
        <v>369</v>
      </c>
      <c r="E53" t="s">
        <v>370</v>
      </c>
    </row>
    <row r="54" spans="1:5">
      <c r="A54" t="s">
        <v>371</v>
      </c>
      <c r="B54" t="s">
        <v>46</v>
      </c>
      <c r="C54" t="s">
        <v>372</v>
      </c>
      <c r="D54" t="s">
        <v>373</v>
      </c>
      <c r="E54" t="s">
        <v>374</v>
      </c>
    </row>
    <row r="55" spans="1:5">
      <c r="A55" t="s">
        <v>375</v>
      </c>
      <c r="B55" t="s">
        <v>47</v>
      </c>
      <c r="C55" t="s">
        <v>376</v>
      </c>
      <c r="D55" t="s">
        <v>377</v>
      </c>
      <c r="E55" t="s">
        <v>378</v>
      </c>
    </row>
    <row r="56" spans="1:5">
      <c r="A56" t="s">
        <v>379</v>
      </c>
      <c r="B56" t="s">
        <v>68</v>
      </c>
      <c r="C56" t="s">
        <v>68</v>
      </c>
      <c r="D56" t="s">
        <v>68</v>
      </c>
      <c r="E56" t="s">
        <v>68</v>
      </c>
    </row>
    <row r="57" spans="1:5">
      <c r="A57" t="s">
        <v>380</v>
      </c>
      <c r="B57" t="s">
        <v>871</v>
      </c>
      <c r="C57" t="s">
        <v>872</v>
      </c>
      <c r="D57" t="s">
        <v>873</v>
      </c>
      <c r="E57" t="s">
        <v>874</v>
      </c>
    </row>
    <row r="58" spans="1:5">
      <c r="A58" t="s">
        <v>381</v>
      </c>
      <c r="B58" t="s">
        <v>72</v>
      </c>
      <c r="C58" t="s">
        <v>72</v>
      </c>
      <c r="D58" t="s">
        <v>72</v>
      </c>
      <c r="E58" t="s">
        <v>72</v>
      </c>
    </row>
    <row r="59" spans="1:5">
      <c r="A59" t="s">
        <v>382</v>
      </c>
      <c r="B59" t="s">
        <v>74</v>
      </c>
      <c r="C59" t="s">
        <v>383</v>
      </c>
      <c r="D59" t="s">
        <v>383</v>
      </c>
      <c r="E59" t="s">
        <v>384</v>
      </c>
    </row>
    <row r="60" spans="1:5">
      <c r="A60" t="s">
        <v>385</v>
      </c>
      <c r="B60" t="s">
        <v>75</v>
      </c>
      <c r="C60" t="s">
        <v>386</v>
      </c>
      <c r="D60" t="s">
        <v>386</v>
      </c>
      <c r="E60" t="s">
        <v>387</v>
      </c>
    </row>
    <row r="61" spans="1:5">
      <c r="A61" t="s">
        <v>388</v>
      </c>
      <c r="B61" t="s">
        <v>78</v>
      </c>
      <c r="C61" t="s">
        <v>389</v>
      </c>
      <c r="D61" t="s">
        <v>389</v>
      </c>
      <c r="E61" t="s">
        <v>390</v>
      </c>
    </row>
    <row r="62" spans="1:5">
      <c r="A62" t="s">
        <v>391</v>
      </c>
      <c r="B62" t="s">
        <v>73</v>
      </c>
      <c r="C62" t="s">
        <v>392</v>
      </c>
      <c r="D62" t="s">
        <v>393</v>
      </c>
      <c r="E62" t="s">
        <v>394</v>
      </c>
    </row>
    <row r="63" spans="1:5">
      <c r="A63" t="s">
        <v>395</v>
      </c>
      <c r="B63" t="s">
        <v>1029</v>
      </c>
      <c r="C63" t="s">
        <v>1030</v>
      </c>
      <c r="D63" t="s">
        <v>1031</v>
      </c>
      <c r="E63" t="s">
        <v>1030</v>
      </c>
    </row>
    <row r="64" spans="1:5">
      <c r="A64" t="s">
        <v>396</v>
      </c>
      <c r="B64" t="s">
        <v>1039</v>
      </c>
      <c r="C64" t="s">
        <v>1040</v>
      </c>
      <c r="D64" t="s">
        <v>1040</v>
      </c>
      <c r="E64" t="s">
        <v>1041</v>
      </c>
    </row>
    <row r="65" spans="1:5">
      <c r="A65" t="s">
        <v>397</v>
      </c>
      <c r="B65" t="s">
        <v>79</v>
      </c>
      <c r="C65" t="s">
        <v>398</v>
      </c>
      <c r="D65" t="s">
        <v>399</v>
      </c>
      <c r="E65" t="s">
        <v>400</v>
      </c>
    </row>
    <row r="66" spans="1:5">
      <c r="A66" t="s">
        <v>401</v>
      </c>
      <c r="B66" t="s">
        <v>1046</v>
      </c>
      <c r="C66" t="s">
        <v>1047</v>
      </c>
      <c r="D66" t="s">
        <v>1048</v>
      </c>
      <c r="E66" t="s">
        <v>1049</v>
      </c>
    </row>
    <row r="67" spans="1:5">
      <c r="A67" t="s">
        <v>402</v>
      </c>
      <c r="B67" t="s">
        <v>44</v>
      </c>
      <c r="C67" t="s">
        <v>403</v>
      </c>
      <c r="D67" t="s">
        <v>404</v>
      </c>
      <c r="E67" t="s">
        <v>405</v>
      </c>
    </row>
    <row r="68" spans="1:5">
      <c r="A68" t="s">
        <v>406</v>
      </c>
      <c r="B68" t="s">
        <v>87</v>
      </c>
      <c r="C68" t="s">
        <v>407</v>
      </c>
      <c r="D68" t="s">
        <v>408</v>
      </c>
      <c r="E68" t="s">
        <v>409</v>
      </c>
    </row>
    <row r="69" spans="1:5">
      <c r="A69" t="s">
        <v>410</v>
      </c>
      <c r="B69" t="s">
        <v>52</v>
      </c>
      <c r="C69" t="s">
        <v>411</v>
      </c>
      <c r="D69" t="s">
        <v>412</v>
      </c>
      <c r="E69" t="s">
        <v>413</v>
      </c>
    </row>
    <row r="70" spans="1:5">
      <c r="A70" t="s">
        <v>414</v>
      </c>
      <c r="B70" t="s">
        <v>137</v>
      </c>
      <c r="C70" t="s">
        <v>415</v>
      </c>
      <c r="D70" t="s">
        <v>416</v>
      </c>
      <c r="E70" t="s">
        <v>417</v>
      </c>
    </row>
    <row r="71" spans="1:5">
      <c r="A71" t="s">
        <v>418</v>
      </c>
      <c r="B71" t="s">
        <v>419</v>
      </c>
      <c r="C71" t="s">
        <v>420</v>
      </c>
      <c r="D71" t="s">
        <v>421</v>
      </c>
      <c r="E71" t="s">
        <v>422</v>
      </c>
    </row>
    <row r="72" spans="1:5">
      <c r="A72" t="s">
        <v>423</v>
      </c>
      <c r="B72" t="s">
        <v>1064</v>
      </c>
      <c r="C72" t="s">
        <v>1065</v>
      </c>
      <c r="D72" t="s">
        <v>1066</v>
      </c>
      <c r="E72" t="s">
        <v>1067</v>
      </c>
    </row>
    <row r="73" spans="1:5">
      <c r="A73" t="s">
        <v>424</v>
      </c>
      <c r="B73" t="s">
        <v>1064</v>
      </c>
      <c r="C73" t="s">
        <v>1065</v>
      </c>
      <c r="D73" t="s">
        <v>1066</v>
      </c>
      <c r="E73" t="s">
        <v>1067</v>
      </c>
    </row>
    <row r="74" spans="1:5">
      <c r="A74" t="s">
        <v>425</v>
      </c>
      <c r="B74" t="s">
        <v>138</v>
      </c>
      <c r="C74" t="s">
        <v>426</v>
      </c>
      <c r="D74" t="s">
        <v>426</v>
      </c>
      <c r="E74" t="s">
        <v>427</v>
      </c>
    </row>
    <row r="75" spans="1:5">
      <c r="A75" t="s">
        <v>428</v>
      </c>
      <c r="B75" t="s">
        <v>1042</v>
      </c>
      <c r="C75" t="s">
        <v>1043</v>
      </c>
      <c r="D75" t="s">
        <v>1044</v>
      </c>
      <c r="E75" t="s">
        <v>1045</v>
      </c>
    </row>
    <row r="76" spans="1:5">
      <c r="A76" t="s">
        <v>429</v>
      </c>
      <c r="B76" t="s">
        <v>430</v>
      </c>
      <c r="C76" t="s">
        <v>431</v>
      </c>
      <c r="D76" t="s">
        <v>432</v>
      </c>
      <c r="E76" t="s">
        <v>433</v>
      </c>
    </row>
    <row r="77" spans="1:5">
      <c r="A77" t="s">
        <v>434</v>
      </c>
      <c r="B77" t="s">
        <v>76</v>
      </c>
      <c r="C77" t="s">
        <v>435</v>
      </c>
      <c r="D77" t="s">
        <v>435</v>
      </c>
      <c r="E77" t="s">
        <v>436</v>
      </c>
    </row>
    <row r="78" spans="1:5">
      <c r="A78" t="s">
        <v>437</v>
      </c>
      <c r="B78" t="s">
        <v>77</v>
      </c>
      <c r="C78" t="s">
        <v>438</v>
      </c>
      <c r="D78" t="s">
        <v>439</v>
      </c>
      <c r="E78" t="s">
        <v>77</v>
      </c>
    </row>
    <row r="79" spans="1:5">
      <c r="A79" t="s">
        <v>440</v>
      </c>
      <c r="B79" t="s">
        <v>441</v>
      </c>
      <c r="C79" t="s">
        <v>442</v>
      </c>
      <c r="D79" t="s">
        <v>443</v>
      </c>
      <c r="E79" t="s">
        <v>444</v>
      </c>
    </row>
    <row r="80" spans="1:5">
      <c r="A80" t="s">
        <v>445</v>
      </c>
      <c r="B80" t="s">
        <v>69</v>
      </c>
      <c r="C80" t="s">
        <v>446</v>
      </c>
      <c r="D80" t="s">
        <v>447</v>
      </c>
      <c r="E80" t="s">
        <v>448</v>
      </c>
    </row>
    <row r="81" spans="1:5">
      <c r="A81" t="s">
        <v>449</v>
      </c>
      <c r="B81" t="s">
        <v>70</v>
      </c>
      <c r="C81" t="s">
        <v>450</v>
      </c>
      <c r="D81" t="s">
        <v>451</v>
      </c>
      <c r="E81" t="s">
        <v>452</v>
      </c>
    </row>
    <row r="82" spans="1:5">
      <c r="A82" t="s">
        <v>453</v>
      </c>
      <c r="B82" t="s">
        <v>83</v>
      </c>
      <c r="C82" t="s">
        <v>454</v>
      </c>
      <c r="D82" t="s">
        <v>455</v>
      </c>
      <c r="E82" t="s">
        <v>456</v>
      </c>
    </row>
    <row r="83" spans="1:5">
      <c r="A83" t="s">
        <v>457</v>
      </c>
      <c r="B83" t="s">
        <v>86</v>
      </c>
      <c r="C83" t="s">
        <v>458</v>
      </c>
      <c r="D83" t="s">
        <v>459</v>
      </c>
      <c r="E83" t="s">
        <v>460</v>
      </c>
    </row>
    <row r="84" spans="1:5">
      <c r="A84" t="s">
        <v>461</v>
      </c>
      <c r="B84" t="s">
        <v>84</v>
      </c>
      <c r="C84" t="s">
        <v>462</v>
      </c>
      <c r="D84" t="s">
        <v>463</v>
      </c>
      <c r="E84" t="s">
        <v>463</v>
      </c>
    </row>
    <row r="85" spans="1:5">
      <c r="A85" t="s">
        <v>464</v>
      </c>
      <c r="B85" t="s">
        <v>85</v>
      </c>
      <c r="C85" t="s">
        <v>465</v>
      </c>
      <c r="D85" t="s">
        <v>466</v>
      </c>
      <c r="E85" t="s">
        <v>467</v>
      </c>
    </row>
    <row r="86" spans="1:5">
      <c r="A86" t="s">
        <v>468</v>
      </c>
      <c r="B86" t="s">
        <v>149</v>
      </c>
      <c r="C86" t="s">
        <v>469</v>
      </c>
      <c r="D86" t="s">
        <v>469</v>
      </c>
      <c r="E86" t="s">
        <v>470</v>
      </c>
    </row>
    <row r="87" spans="1:5">
      <c r="A87" t="s">
        <v>471</v>
      </c>
      <c r="B87" t="s">
        <v>150</v>
      </c>
      <c r="C87" t="s">
        <v>472</v>
      </c>
      <c r="D87" t="s">
        <v>472</v>
      </c>
      <c r="E87" t="s">
        <v>473</v>
      </c>
    </row>
    <row r="88" spans="1:5">
      <c r="A88" t="s">
        <v>474</v>
      </c>
      <c r="B88" t="s">
        <v>151</v>
      </c>
      <c r="C88" t="s">
        <v>475</v>
      </c>
      <c r="D88" t="s">
        <v>476</v>
      </c>
      <c r="E88" t="s">
        <v>477</v>
      </c>
    </row>
    <row r="89" spans="1:5">
      <c r="A89" t="s">
        <v>478</v>
      </c>
      <c r="B89" t="s">
        <v>152</v>
      </c>
      <c r="C89" t="s">
        <v>479</v>
      </c>
      <c r="D89" t="s">
        <v>480</v>
      </c>
      <c r="E89" t="s">
        <v>481</v>
      </c>
    </row>
    <row r="90" spans="1:5">
      <c r="A90" t="s">
        <v>482</v>
      </c>
      <c r="B90" t="s">
        <v>153</v>
      </c>
      <c r="C90" t="s">
        <v>483</v>
      </c>
      <c r="D90" t="s">
        <v>484</v>
      </c>
      <c r="E90" t="s">
        <v>485</v>
      </c>
    </row>
    <row r="91" spans="1:5">
      <c r="A91" t="s">
        <v>486</v>
      </c>
      <c r="B91" t="s">
        <v>154</v>
      </c>
      <c r="C91" t="s">
        <v>487</v>
      </c>
      <c r="D91" t="s">
        <v>488</v>
      </c>
      <c r="E91" t="s">
        <v>489</v>
      </c>
    </row>
    <row r="92" spans="1:5">
      <c r="A92" t="s">
        <v>490</v>
      </c>
      <c r="B92" t="s">
        <v>491</v>
      </c>
      <c r="C92" t="s">
        <v>491</v>
      </c>
      <c r="D92" t="s">
        <v>491</v>
      </c>
      <c r="E92" t="s">
        <v>491</v>
      </c>
    </row>
    <row r="93" spans="1:5">
      <c r="A93" t="s">
        <v>492</v>
      </c>
      <c r="B93" t="s">
        <v>493</v>
      </c>
      <c r="C93" t="s">
        <v>494</v>
      </c>
      <c r="D93" t="s">
        <v>495</v>
      </c>
      <c r="E93" t="s">
        <v>496</v>
      </c>
    </row>
    <row r="94" spans="1:5" ht="118.8">
      <c r="A94" t="s">
        <v>497</v>
      </c>
      <c r="B94" s="199" t="s">
        <v>498</v>
      </c>
      <c r="C94" s="199" t="s">
        <v>499</v>
      </c>
      <c r="D94" s="199" t="s">
        <v>500</v>
      </c>
      <c r="E94" s="199" t="s">
        <v>501</v>
      </c>
    </row>
    <row r="95" spans="1:5">
      <c r="A95" t="s">
        <v>502</v>
      </c>
      <c r="B95" t="s">
        <v>503</v>
      </c>
      <c r="C95" t="s">
        <v>504</v>
      </c>
      <c r="D95" t="s">
        <v>505</v>
      </c>
      <c r="E95" t="s">
        <v>506</v>
      </c>
    </row>
    <row r="96" spans="1:5">
      <c r="A96" t="s">
        <v>507</v>
      </c>
      <c r="B96" t="s">
        <v>55</v>
      </c>
      <c r="C96" t="s">
        <v>508</v>
      </c>
      <c r="D96" t="s">
        <v>509</v>
      </c>
      <c r="E96" t="s">
        <v>510</v>
      </c>
    </row>
    <row r="97" spans="1:5">
      <c r="A97" t="s">
        <v>511</v>
      </c>
      <c r="B97" t="s">
        <v>96</v>
      </c>
      <c r="C97" t="s">
        <v>512</v>
      </c>
      <c r="D97" t="s">
        <v>512</v>
      </c>
      <c r="E97" t="s">
        <v>513</v>
      </c>
    </row>
    <row r="98" spans="1:5">
      <c r="A98" t="s">
        <v>514</v>
      </c>
      <c r="B98" t="s">
        <v>141</v>
      </c>
      <c r="C98" t="s">
        <v>515</v>
      </c>
      <c r="D98" t="s">
        <v>516</v>
      </c>
      <c r="E98" t="s">
        <v>517</v>
      </c>
    </row>
    <row r="99" spans="1:5">
      <c r="A99" t="s">
        <v>518</v>
      </c>
      <c r="B99" t="s">
        <v>142</v>
      </c>
      <c r="C99" t="s">
        <v>519</v>
      </c>
      <c r="D99" t="s">
        <v>520</v>
      </c>
      <c r="E99" t="s">
        <v>521</v>
      </c>
    </row>
    <row r="100" spans="1:5">
      <c r="A100" t="s">
        <v>522</v>
      </c>
      <c r="B100" t="s">
        <v>143</v>
      </c>
      <c r="C100" t="s">
        <v>523</v>
      </c>
      <c r="D100" t="s">
        <v>524</v>
      </c>
      <c r="E100" t="s">
        <v>525</v>
      </c>
    </row>
    <row r="101" spans="1:5">
      <c r="A101" t="s">
        <v>526</v>
      </c>
      <c r="B101" t="s">
        <v>57</v>
      </c>
      <c r="C101" t="s">
        <v>527</v>
      </c>
      <c r="D101" t="s">
        <v>528</v>
      </c>
      <c r="E101" t="s">
        <v>529</v>
      </c>
    </row>
    <row r="102" spans="1:5">
      <c r="A102" t="s">
        <v>530</v>
      </c>
      <c r="B102" t="s">
        <v>58</v>
      </c>
      <c r="C102" t="s">
        <v>531</v>
      </c>
      <c r="D102" t="s">
        <v>531</v>
      </c>
      <c r="E102" t="s">
        <v>532</v>
      </c>
    </row>
    <row r="103" spans="1:5">
      <c r="A103" t="s">
        <v>533</v>
      </c>
      <c r="B103" t="s">
        <v>95</v>
      </c>
      <c r="C103" t="s">
        <v>95</v>
      </c>
      <c r="D103" t="s">
        <v>95</v>
      </c>
      <c r="E103" t="s">
        <v>95</v>
      </c>
    </row>
    <row r="104" spans="1:5">
      <c r="A104" t="s">
        <v>534</v>
      </c>
      <c r="B104" t="s">
        <v>535</v>
      </c>
      <c r="C104" t="s">
        <v>535</v>
      </c>
      <c r="D104" t="s">
        <v>535</v>
      </c>
      <c r="E104" t="s">
        <v>535</v>
      </c>
    </row>
    <row r="105" spans="1:5">
      <c r="A105" t="s">
        <v>536</v>
      </c>
      <c r="B105" t="s">
        <v>59</v>
      </c>
      <c r="C105" t="s">
        <v>59</v>
      </c>
      <c r="D105" t="s">
        <v>59</v>
      </c>
      <c r="E105" t="s">
        <v>59</v>
      </c>
    </row>
    <row r="106" spans="1:5">
      <c r="A106" t="s">
        <v>537</v>
      </c>
      <c r="B106" t="s">
        <v>60</v>
      </c>
      <c r="C106" t="s">
        <v>538</v>
      </c>
      <c r="D106" t="s">
        <v>60</v>
      </c>
      <c r="E106" t="s">
        <v>539</v>
      </c>
    </row>
    <row r="107" spans="1:5">
      <c r="A107" t="s">
        <v>540</v>
      </c>
      <c r="B107" t="s">
        <v>61</v>
      </c>
      <c r="C107" t="s">
        <v>61</v>
      </c>
      <c r="D107" t="s">
        <v>61</v>
      </c>
      <c r="E107" t="s">
        <v>61</v>
      </c>
    </row>
    <row r="108" spans="1:5">
      <c r="A108" t="s">
        <v>541</v>
      </c>
      <c r="B108" t="s">
        <v>67</v>
      </c>
      <c r="C108" t="s">
        <v>67</v>
      </c>
      <c r="D108" t="s">
        <v>67</v>
      </c>
      <c r="E108" t="s">
        <v>67</v>
      </c>
    </row>
    <row r="109" spans="1:5">
      <c r="A109" t="s">
        <v>542</v>
      </c>
      <c r="B109" t="s">
        <v>62</v>
      </c>
      <c r="C109" t="s">
        <v>543</v>
      </c>
      <c r="D109" t="s">
        <v>544</v>
      </c>
      <c r="E109" t="s">
        <v>543</v>
      </c>
    </row>
    <row r="110" spans="1:5">
      <c r="A110" t="s">
        <v>545</v>
      </c>
      <c r="B110" t="s">
        <v>63</v>
      </c>
      <c r="C110" t="s">
        <v>546</v>
      </c>
      <c r="D110" t="s">
        <v>547</v>
      </c>
      <c r="E110" t="s">
        <v>546</v>
      </c>
    </row>
    <row r="111" spans="1:5">
      <c r="A111" t="s">
        <v>548</v>
      </c>
      <c r="B111" t="s">
        <v>64</v>
      </c>
      <c r="C111" t="s">
        <v>64</v>
      </c>
      <c r="D111" t="s">
        <v>64</v>
      </c>
      <c r="E111" t="s">
        <v>64</v>
      </c>
    </row>
    <row r="112" spans="1:5">
      <c r="A112" t="s">
        <v>549</v>
      </c>
      <c r="B112" t="s">
        <v>66</v>
      </c>
      <c r="C112" t="s">
        <v>66</v>
      </c>
      <c r="D112" t="s">
        <v>66</v>
      </c>
      <c r="E112" t="s">
        <v>66</v>
      </c>
    </row>
    <row r="113" spans="1:5">
      <c r="A113" t="s">
        <v>550</v>
      </c>
      <c r="B113" t="s">
        <v>140</v>
      </c>
      <c r="C113" t="s">
        <v>551</v>
      </c>
      <c r="D113" t="s">
        <v>552</v>
      </c>
      <c r="E113" t="s">
        <v>553</v>
      </c>
    </row>
    <row r="114" spans="1:5">
      <c r="A114" t="s">
        <v>554</v>
      </c>
      <c r="B114" t="s">
        <v>139</v>
      </c>
      <c r="C114" t="s">
        <v>555</v>
      </c>
      <c r="D114" t="s">
        <v>556</v>
      </c>
      <c r="E114" t="s">
        <v>557</v>
      </c>
    </row>
    <row r="115" spans="1:5">
      <c r="A115" t="s">
        <v>558</v>
      </c>
      <c r="B115" t="s">
        <v>144</v>
      </c>
      <c r="C115" t="s">
        <v>559</v>
      </c>
      <c r="D115" t="s">
        <v>560</v>
      </c>
      <c r="E115" t="s">
        <v>561</v>
      </c>
    </row>
    <row r="116" spans="1:5">
      <c r="A116" t="s">
        <v>562</v>
      </c>
      <c r="B116" t="s">
        <v>145</v>
      </c>
      <c r="C116" t="s">
        <v>563</v>
      </c>
      <c r="D116" t="s">
        <v>563</v>
      </c>
      <c r="E116" t="s">
        <v>564</v>
      </c>
    </row>
    <row r="117" spans="1:5">
      <c r="A117" t="s">
        <v>565</v>
      </c>
      <c r="B117" t="s">
        <v>146</v>
      </c>
      <c r="C117" t="s">
        <v>566</v>
      </c>
      <c r="D117" t="s">
        <v>567</v>
      </c>
      <c r="E117" t="s">
        <v>568</v>
      </c>
    </row>
    <row r="118" spans="1:5">
      <c r="A118" t="s">
        <v>569</v>
      </c>
      <c r="B118" t="s">
        <v>570</v>
      </c>
      <c r="C118" t="s">
        <v>571</v>
      </c>
      <c r="D118" t="s">
        <v>572</v>
      </c>
      <c r="E118" t="s">
        <v>573</v>
      </c>
    </row>
    <row r="119" spans="1:5">
      <c r="A119" t="s">
        <v>574</v>
      </c>
      <c r="B119" t="s">
        <v>575</v>
      </c>
      <c r="C119" t="s">
        <v>576</v>
      </c>
      <c r="D119" t="s">
        <v>576</v>
      </c>
      <c r="E119" t="s">
        <v>577</v>
      </c>
    </row>
    <row r="120" spans="1:5">
      <c r="A120" t="s">
        <v>578</v>
      </c>
      <c r="B120" t="s">
        <v>579</v>
      </c>
      <c r="C120" t="s">
        <v>580</v>
      </c>
      <c r="D120" t="s">
        <v>581</v>
      </c>
      <c r="E120" t="s">
        <v>582</v>
      </c>
    </row>
    <row r="121" spans="1:5">
      <c r="A121" t="s">
        <v>583</v>
      </c>
      <c r="B121" t="s">
        <v>584</v>
      </c>
      <c r="C121" t="s">
        <v>585</v>
      </c>
      <c r="D121" t="s">
        <v>586</v>
      </c>
      <c r="E121" t="s">
        <v>587</v>
      </c>
    </row>
    <row r="122" spans="1:5">
      <c r="A122" t="s">
        <v>588</v>
      </c>
      <c r="B122" t="s">
        <v>589</v>
      </c>
      <c r="C122" t="s">
        <v>590</v>
      </c>
      <c r="D122" t="s">
        <v>591</v>
      </c>
      <c r="E122" t="s">
        <v>592</v>
      </c>
    </row>
    <row r="123" spans="1:5">
      <c r="A123" t="s">
        <v>593</v>
      </c>
      <c r="B123" t="s">
        <v>594</v>
      </c>
      <c r="C123" t="s">
        <v>595</v>
      </c>
      <c r="D123" t="s">
        <v>596</v>
      </c>
      <c r="E123" t="s">
        <v>597</v>
      </c>
    </row>
    <row r="124" spans="1:5">
      <c r="A124" t="s">
        <v>598</v>
      </c>
      <c r="B124" t="s">
        <v>599</v>
      </c>
      <c r="C124" t="s">
        <v>599</v>
      </c>
      <c r="D124" t="s">
        <v>599</v>
      </c>
      <c r="E124" t="s">
        <v>599</v>
      </c>
    </row>
    <row r="125" spans="1:5">
      <c r="A125" t="s">
        <v>600</v>
      </c>
      <c r="B125" t="s">
        <v>601</v>
      </c>
      <c r="C125" t="s">
        <v>602</v>
      </c>
      <c r="D125" t="s">
        <v>603</v>
      </c>
      <c r="E125" t="s">
        <v>604</v>
      </c>
    </row>
    <row r="126" spans="1:5">
      <c r="A126" t="s">
        <v>605</v>
      </c>
      <c r="B126" t="s">
        <v>606</v>
      </c>
      <c r="C126" t="s">
        <v>607</v>
      </c>
      <c r="D126" t="s">
        <v>608</v>
      </c>
      <c r="E126" t="s">
        <v>609</v>
      </c>
    </row>
    <row r="127" spans="1:5">
      <c r="A127" t="s">
        <v>610</v>
      </c>
      <c r="B127" t="s">
        <v>611</v>
      </c>
      <c r="C127" t="s">
        <v>611</v>
      </c>
      <c r="D127" t="s">
        <v>611</v>
      </c>
      <c r="E127" t="s">
        <v>611</v>
      </c>
    </row>
    <row r="128" spans="1:5">
      <c r="A128" t="s">
        <v>612</v>
      </c>
      <c r="B128" t="s">
        <v>613</v>
      </c>
      <c r="C128" t="s">
        <v>614</v>
      </c>
      <c r="D128" t="s">
        <v>615</v>
      </c>
      <c r="E128" t="s">
        <v>616</v>
      </c>
    </row>
    <row r="129" spans="1:5">
      <c r="A129" t="s">
        <v>617</v>
      </c>
      <c r="B129" t="s">
        <v>618</v>
      </c>
      <c r="C129" t="s">
        <v>619</v>
      </c>
      <c r="D129" t="s">
        <v>620</v>
      </c>
      <c r="E129" t="s">
        <v>621</v>
      </c>
    </row>
    <row r="130" spans="1:5">
      <c r="A130" t="s">
        <v>622</v>
      </c>
      <c r="B130" t="s">
        <v>623</v>
      </c>
      <c r="C130" t="s">
        <v>624</v>
      </c>
      <c r="D130" t="s">
        <v>625</v>
      </c>
      <c r="E130" t="s">
        <v>626</v>
      </c>
    </row>
    <row r="131" spans="1:5">
      <c r="A131" t="s">
        <v>627</v>
      </c>
      <c r="B131" t="s">
        <v>628</v>
      </c>
      <c r="C131" t="s">
        <v>629</v>
      </c>
      <c r="D131" t="s">
        <v>630</v>
      </c>
      <c r="E131" t="s">
        <v>631</v>
      </c>
    </row>
    <row r="132" spans="1:5">
      <c r="A132" t="s">
        <v>632</v>
      </c>
      <c r="B132" t="s">
        <v>633</v>
      </c>
      <c r="C132" t="s">
        <v>634</v>
      </c>
      <c r="D132" t="s">
        <v>635</v>
      </c>
      <c r="E132" t="s">
        <v>636</v>
      </c>
    </row>
    <row r="133" spans="1:5">
      <c r="A133" t="s">
        <v>637</v>
      </c>
      <c r="B133" t="s">
        <v>638</v>
      </c>
      <c r="C133" t="s">
        <v>639</v>
      </c>
      <c r="D133" t="s">
        <v>639</v>
      </c>
      <c r="E133" t="s">
        <v>640</v>
      </c>
    </row>
    <row r="134" spans="1:5">
      <c r="A134" t="s">
        <v>641</v>
      </c>
      <c r="B134" t="s">
        <v>1025</v>
      </c>
      <c r="C134" t="s">
        <v>1026</v>
      </c>
      <c r="D134" t="s">
        <v>1027</v>
      </c>
      <c r="E134" t="s">
        <v>1028</v>
      </c>
    </row>
    <row r="135" spans="1:5">
      <c r="A135" t="s">
        <v>642</v>
      </c>
      <c r="B135" t="s">
        <v>643</v>
      </c>
      <c r="C135" t="s">
        <v>644</v>
      </c>
      <c r="D135" t="s">
        <v>644</v>
      </c>
      <c r="E135" t="s">
        <v>645</v>
      </c>
    </row>
    <row r="136" spans="1:5" ht="118.8">
      <c r="A136" t="s">
        <v>646</v>
      </c>
      <c r="B136" s="199" t="s">
        <v>647</v>
      </c>
      <c r="C136" s="199" t="s">
        <v>648</v>
      </c>
      <c r="D136" s="199" t="s">
        <v>649</v>
      </c>
      <c r="E136" s="199" t="s">
        <v>650</v>
      </c>
    </row>
    <row r="137" spans="1:5">
      <c r="A137" t="s">
        <v>651</v>
      </c>
      <c r="B137" t="s">
        <v>652</v>
      </c>
      <c r="C137" t="s">
        <v>653</v>
      </c>
      <c r="D137" t="s">
        <v>654</v>
      </c>
      <c r="E137" t="s">
        <v>655</v>
      </c>
    </row>
    <row r="138" spans="1:5">
      <c r="A138" t="s">
        <v>656</v>
      </c>
      <c r="B138" t="s">
        <v>657</v>
      </c>
      <c r="C138" t="s">
        <v>658</v>
      </c>
      <c r="D138" t="s">
        <v>659</v>
      </c>
      <c r="E138" t="s">
        <v>660</v>
      </c>
    </row>
    <row r="139" spans="1:5">
      <c r="A139" t="s">
        <v>661</v>
      </c>
      <c r="B139" t="s">
        <v>662</v>
      </c>
      <c r="C139" t="s">
        <v>663</v>
      </c>
      <c r="D139" t="s">
        <v>664</v>
      </c>
      <c r="E139" t="s">
        <v>665</v>
      </c>
    </row>
    <row r="140" spans="1:5">
      <c r="A140" t="s">
        <v>666</v>
      </c>
      <c r="B140" t="s">
        <v>667</v>
      </c>
      <c r="C140" t="s">
        <v>668</v>
      </c>
      <c r="D140" t="s">
        <v>669</v>
      </c>
      <c r="E140" t="s">
        <v>670</v>
      </c>
    </row>
    <row r="141" spans="1:5">
      <c r="A141" t="s">
        <v>671</v>
      </c>
      <c r="B141" t="s">
        <v>672</v>
      </c>
      <c r="C141" t="s">
        <v>673</v>
      </c>
      <c r="D141" t="s">
        <v>674</v>
      </c>
      <c r="E141" t="s">
        <v>675</v>
      </c>
    </row>
    <row r="142" spans="1:5">
      <c r="A142" t="s">
        <v>676</v>
      </c>
      <c r="B142" t="s">
        <v>677</v>
      </c>
      <c r="C142" t="s">
        <v>678</v>
      </c>
      <c r="D142" t="s">
        <v>679</v>
      </c>
      <c r="E142" t="s">
        <v>680</v>
      </c>
    </row>
    <row r="143" spans="1:5">
      <c r="A143" t="s">
        <v>681</v>
      </c>
      <c r="B143" t="s">
        <v>682</v>
      </c>
      <c r="C143" t="s">
        <v>683</v>
      </c>
      <c r="D143" t="s">
        <v>684</v>
      </c>
      <c r="E143" t="s">
        <v>685</v>
      </c>
    </row>
    <row r="144" spans="1:5" ht="316.8">
      <c r="A144" t="s">
        <v>686</v>
      </c>
      <c r="B144" s="199" t="s">
        <v>687</v>
      </c>
      <c r="C144" s="199" t="s">
        <v>688</v>
      </c>
      <c r="D144" s="199" t="s">
        <v>689</v>
      </c>
      <c r="E144" s="199" t="s">
        <v>690</v>
      </c>
    </row>
    <row r="145" spans="1:5" ht="343.2">
      <c r="A145" t="s">
        <v>691</v>
      </c>
      <c r="B145" s="199" t="s">
        <v>692</v>
      </c>
      <c r="C145" s="199" t="s">
        <v>693</v>
      </c>
      <c r="D145" s="199" t="s">
        <v>694</v>
      </c>
      <c r="E145" s="199" t="s">
        <v>695</v>
      </c>
    </row>
    <row r="146" spans="1:5" ht="184.8">
      <c r="A146" t="s">
        <v>696</v>
      </c>
      <c r="B146" s="199" t="s">
        <v>697</v>
      </c>
      <c r="C146" s="199" t="s">
        <v>698</v>
      </c>
      <c r="D146" s="199" t="s">
        <v>699</v>
      </c>
      <c r="E146" s="199" t="s">
        <v>700</v>
      </c>
    </row>
    <row r="147" spans="1:5" ht="171.6">
      <c r="A147" t="s">
        <v>701</v>
      </c>
      <c r="B147" s="199" t="s">
        <v>782</v>
      </c>
      <c r="C147" s="199" t="s">
        <v>783</v>
      </c>
      <c r="D147" s="199" t="s">
        <v>784</v>
      </c>
      <c r="E147" s="199" t="s">
        <v>785</v>
      </c>
    </row>
    <row r="148" spans="1:5">
      <c r="A148" t="s">
        <v>702</v>
      </c>
      <c r="B148" t="s">
        <v>703</v>
      </c>
      <c r="C148" t="s">
        <v>704</v>
      </c>
      <c r="D148" t="s">
        <v>705</v>
      </c>
      <c r="E148" t="s">
        <v>706</v>
      </c>
    </row>
    <row r="149" spans="1:5" ht="409.6">
      <c r="A149" t="s">
        <v>707</v>
      </c>
      <c r="B149" s="199" t="s">
        <v>708</v>
      </c>
      <c r="C149" s="199" t="s">
        <v>709</v>
      </c>
      <c r="D149" s="199" t="s">
        <v>710</v>
      </c>
      <c r="E149" s="199" t="s">
        <v>711</v>
      </c>
    </row>
    <row r="150" spans="1:5">
      <c r="A150" t="s">
        <v>712</v>
      </c>
      <c r="B150" t="s">
        <v>713</v>
      </c>
      <c r="C150" t="s">
        <v>714</v>
      </c>
      <c r="D150" t="s">
        <v>713</v>
      </c>
      <c r="E150" t="s">
        <v>715</v>
      </c>
    </row>
    <row r="151" spans="1:5" ht="409.6">
      <c r="A151" t="s">
        <v>716</v>
      </c>
      <c r="B151" s="199" t="s">
        <v>717</v>
      </c>
      <c r="C151" s="199" t="s">
        <v>718</v>
      </c>
      <c r="D151" s="199" t="s">
        <v>719</v>
      </c>
      <c r="E151" s="199" t="s">
        <v>720</v>
      </c>
    </row>
    <row r="152" spans="1:5">
      <c r="A152" t="s">
        <v>721</v>
      </c>
      <c r="B152" t="s">
        <v>722</v>
      </c>
      <c r="C152" t="s">
        <v>723</v>
      </c>
      <c r="D152" t="s">
        <v>724</v>
      </c>
      <c r="E152" t="s">
        <v>725</v>
      </c>
    </row>
    <row r="153" spans="1:5">
      <c r="A153" t="s">
        <v>726</v>
      </c>
      <c r="B153" t="s">
        <v>727</v>
      </c>
      <c r="C153" t="s">
        <v>728</v>
      </c>
      <c r="D153" t="s">
        <v>729</v>
      </c>
      <c r="E153" t="s">
        <v>730</v>
      </c>
    </row>
    <row r="154" spans="1:5">
      <c r="A154" t="s">
        <v>731</v>
      </c>
      <c r="B154" t="s">
        <v>732</v>
      </c>
      <c r="C154" t="s">
        <v>733</v>
      </c>
      <c r="D154" t="s">
        <v>734</v>
      </c>
      <c r="E154" t="s">
        <v>735</v>
      </c>
    </row>
    <row r="155" spans="1:5">
      <c r="A155" t="s">
        <v>736</v>
      </c>
      <c r="B155" t="s">
        <v>737</v>
      </c>
      <c r="C155" t="s">
        <v>738</v>
      </c>
      <c r="D155" t="s">
        <v>739</v>
      </c>
      <c r="E155" t="s">
        <v>740</v>
      </c>
    </row>
    <row r="156" spans="1:5">
      <c r="A156" t="s">
        <v>741</v>
      </c>
      <c r="B156" t="s">
        <v>742</v>
      </c>
      <c r="C156" t="s">
        <v>743</v>
      </c>
      <c r="D156" t="s">
        <v>743</v>
      </c>
      <c r="E156" t="s">
        <v>744</v>
      </c>
    </row>
    <row r="157" spans="1:5">
      <c r="A157" t="s">
        <v>745</v>
      </c>
      <c r="B157" t="s">
        <v>746</v>
      </c>
      <c r="C157" t="s">
        <v>747</v>
      </c>
      <c r="D157" t="s">
        <v>748</v>
      </c>
      <c r="E157" t="s">
        <v>749</v>
      </c>
    </row>
    <row r="158" spans="1:5">
      <c r="A158" t="s">
        <v>751</v>
      </c>
      <c r="B158" t="s">
        <v>786</v>
      </c>
      <c r="C158" t="s">
        <v>787</v>
      </c>
      <c r="D158" t="s">
        <v>788</v>
      </c>
      <c r="E158" t="s">
        <v>789</v>
      </c>
    </row>
    <row r="159" spans="1:5">
      <c r="A159" t="s">
        <v>752</v>
      </c>
      <c r="B159" t="s">
        <v>753</v>
      </c>
      <c r="C159" t="s">
        <v>754</v>
      </c>
      <c r="D159" t="s">
        <v>755</v>
      </c>
      <c r="E159" t="s">
        <v>756</v>
      </c>
    </row>
    <row r="160" spans="1:5">
      <c r="A160" t="s">
        <v>757</v>
      </c>
      <c r="B160" t="s">
        <v>758</v>
      </c>
      <c r="C160" t="s">
        <v>759</v>
      </c>
      <c r="D160" t="s">
        <v>760</v>
      </c>
      <c r="E160" t="s">
        <v>761</v>
      </c>
    </row>
    <row r="161" spans="1:5">
      <c r="A161" t="s">
        <v>762</v>
      </c>
      <c r="B161" t="s">
        <v>763</v>
      </c>
      <c r="C161" t="s">
        <v>764</v>
      </c>
      <c r="D161" t="s">
        <v>765</v>
      </c>
      <c r="E161" t="s">
        <v>766</v>
      </c>
    </row>
    <row r="162" spans="1:5">
      <c r="A162" t="s">
        <v>767</v>
      </c>
      <c r="B162" t="s">
        <v>768</v>
      </c>
      <c r="C162" t="s">
        <v>769</v>
      </c>
      <c r="D162" t="s">
        <v>770</v>
      </c>
      <c r="E162" t="s">
        <v>771</v>
      </c>
    </row>
    <row r="163" spans="1:5">
      <c r="A163" t="s">
        <v>772</v>
      </c>
      <c r="B163" t="s">
        <v>773</v>
      </c>
      <c r="C163" t="s">
        <v>774</v>
      </c>
      <c r="D163" t="s">
        <v>775</v>
      </c>
      <c r="E163" t="s">
        <v>776</v>
      </c>
    </row>
    <row r="164" spans="1:5">
      <c r="A164" t="s">
        <v>777</v>
      </c>
      <c r="B164" t="s">
        <v>778</v>
      </c>
      <c r="C164" t="s">
        <v>779</v>
      </c>
      <c r="D164" t="s">
        <v>780</v>
      </c>
      <c r="E164" t="s">
        <v>781</v>
      </c>
    </row>
    <row r="165" spans="1:5">
      <c r="A165" t="s">
        <v>790</v>
      </c>
      <c r="B165" t="s">
        <v>791</v>
      </c>
      <c r="C165" t="s">
        <v>792</v>
      </c>
      <c r="D165" t="s">
        <v>793</v>
      </c>
      <c r="E165" t="s">
        <v>794</v>
      </c>
    </row>
    <row r="166" spans="1:5" ht="184.8">
      <c r="A166" t="s">
        <v>795</v>
      </c>
      <c r="B166" s="199" t="s">
        <v>796</v>
      </c>
      <c r="C166" s="199" t="s">
        <v>797</v>
      </c>
      <c r="D166" s="199" t="s">
        <v>798</v>
      </c>
      <c r="E166" s="199" t="s">
        <v>799</v>
      </c>
    </row>
    <row r="167" spans="1:5">
      <c r="A167" t="s">
        <v>800</v>
      </c>
      <c r="B167" t="s">
        <v>801</v>
      </c>
      <c r="C167" t="s">
        <v>802</v>
      </c>
      <c r="D167" t="s">
        <v>803</v>
      </c>
      <c r="E167" t="s">
        <v>804</v>
      </c>
    </row>
    <row r="168" spans="1:5">
      <c r="A168" t="s">
        <v>805</v>
      </c>
      <c r="B168" t="s">
        <v>806</v>
      </c>
      <c r="C168" t="s">
        <v>807</v>
      </c>
      <c r="D168" t="s">
        <v>808</v>
      </c>
      <c r="E168" t="s">
        <v>809</v>
      </c>
    </row>
    <row r="169" spans="1:5">
      <c r="A169" t="s">
        <v>810</v>
      </c>
      <c r="B169" t="s">
        <v>811</v>
      </c>
      <c r="C169" t="s">
        <v>812</v>
      </c>
      <c r="D169" t="s">
        <v>813</v>
      </c>
      <c r="E169" t="s">
        <v>814</v>
      </c>
    </row>
    <row r="170" spans="1:5">
      <c r="A170" t="s">
        <v>815</v>
      </c>
      <c r="B170" t="s">
        <v>816</v>
      </c>
      <c r="C170" t="s">
        <v>817</v>
      </c>
      <c r="D170" t="s">
        <v>818</v>
      </c>
      <c r="E170" t="s">
        <v>819</v>
      </c>
    </row>
    <row r="171" spans="1:5">
      <c r="A171" t="s">
        <v>820</v>
      </c>
      <c r="B171" t="s">
        <v>821</v>
      </c>
      <c r="C171" t="s">
        <v>822</v>
      </c>
      <c r="D171" t="s">
        <v>823</v>
      </c>
      <c r="E171" t="s">
        <v>824</v>
      </c>
    </row>
    <row r="172" spans="1:5">
      <c r="A172" t="s">
        <v>825</v>
      </c>
      <c r="B172" t="s">
        <v>826</v>
      </c>
      <c r="C172" t="s">
        <v>827</v>
      </c>
      <c r="D172" t="s">
        <v>828</v>
      </c>
      <c r="E172" t="s">
        <v>829</v>
      </c>
    </row>
    <row r="173" spans="1:5">
      <c r="A173" t="s">
        <v>830</v>
      </c>
      <c r="B173" t="s">
        <v>831</v>
      </c>
      <c r="C173" t="s">
        <v>832</v>
      </c>
      <c r="D173" t="s">
        <v>833</v>
      </c>
      <c r="E173" t="s">
        <v>834</v>
      </c>
    </row>
    <row r="174" spans="1:5">
      <c r="A174" t="s">
        <v>835</v>
      </c>
      <c r="B174" t="s">
        <v>836</v>
      </c>
      <c r="C174" t="s">
        <v>837</v>
      </c>
      <c r="D174" t="s">
        <v>838</v>
      </c>
      <c r="E174" t="s">
        <v>839</v>
      </c>
    </row>
    <row r="175" spans="1:5">
      <c r="A175" t="s">
        <v>840</v>
      </c>
      <c r="B175" t="s">
        <v>841</v>
      </c>
      <c r="C175" t="s">
        <v>842</v>
      </c>
      <c r="D175" t="s">
        <v>843</v>
      </c>
      <c r="E175" t="s">
        <v>844</v>
      </c>
    </row>
    <row r="176" spans="1:5">
      <c r="A176" t="s">
        <v>845</v>
      </c>
      <c r="B176" t="s">
        <v>846</v>
      </c>
      <c r="C176" t="s">
        <v>847</v>
      </c>
      <c r="D176" t="s">
        <v>848</v>
      </c>
      <c r="E176" t="s">
        <v>849</v>
      </c>
    </row>
    <row r="177" spans="1:5">
      <c r="A177" t="s">
        <v>850</v>
      </c>
      <c r="B177" t="s">
        <v>851</v>
      </c>
      <c r="C177" t="s">
        <v>852</v>
      </c>
      <c r="D177" t="s">
        <v>853</v>
      </c>
      <c r="E177" t="s">
        <v>854</v>
      </c>
    </row>
    <row r="178" spans="1:5">
      <c r="A178" t="s">
        <v>855</v>
      </c>
      <c r="B178" t="s">
        <v>856</v>
      </c>
      <c r="C178" t="s">
        <v>857</v>
      </c>
      <c r="D178" t="s">
        <v>858</v>
      </c>
      <c r="E178" t="s">
        <v>859</v>
      </c>
    </row>
    <row r="179" spans="1:5" ht="409.6">
      <c r="A179" t="s">
        <v>860</v>
      </c>
      <c r="B179" s="199" t="s">
        <v>1005</v>
      </c>
      <c r="C179" s="199" t="s">
        <v>1006</v>
      </c>
      <c r="D179" s="199" t="s">
        <v>1007</v>
      </c>
      <c r="E179" s="199" t="s">
        <v>1008</v>
      </c>
    </row>
    <row r="180" spans="1:5">
      <c r="A180" t="s">
        <v>868</v>
      </c>
      <c r="B180" t="s">
        <v>869</v>
      </c>
      <c r="C180" t="s">
        <v>869</v>
      </c>
      <c r="D180" t="s">
        <v>869</v>
      </c>
      <c r="E180" t="s">
        <v>869</v>
      </c>
    </row>
    <row r="181" spans="1:5">
      <c r="A181" t="s">
        <v>870</v>
      </c>
      <c r="B181" t="s">
        <v>871</v>
      </c>
      <c r="C181" t="s">
        <v>872</v>
      </c>
      <c r="D181" t="s">
        <v>873</v>
      </c>
      <c r="E181" t="s">
        <v>874</v>
      </c>
    </row>
    <row r="182" spans="1:5">
      <c r="A182" t="s">
        <v>875</v>
      </c>
      <c r="B182" t="s">
        <v>876</v>
      </c>
      <c r="C182" t="s">
        <v>877</v>
      </c>
      <c r="D182" t="s">
        <v>878</v>
      </c>
      <c r="E182" t="s">
        <v>879</v>
      </c>
    </row>
    <row r="183" spans="1:5">
      <c r="A183" t="s">
        <v>880</v>
      </c>
      <c r="B183" t="s">
        <v>881</v>
      </c>
      <c r="C183" t="s">
        <v>882</v>
      </c>
      <c r="D183" t="s">
        <v>883</v>
      </c>
      <c r="E183" t="s">
        <v>884</v>
      </c>
    </row>
    <row r="184" spans="1:5">
      <c r="A184" t="s">
        <v>885</v>
      </c>
      <c r="B184" t="s">
        <v>886</v>
      </c>
      <c r="C184" t="s">
        <v>887</v>
      </c>
      <c r="D184" t="s">
        <v>888</v>
      </c>
      <c r="E184" t="s">
        <v>889</v>
      </c>
    </row>
    <row r="185" spans="1:5">
      <c r="A185" t="s">
        <v>890</v>
      </c>
      <c r="B185" t="s">
        <v>891</v>
      </c>
      <c r="C185" t="s">
        <v>892</v>
      </c>
      <c r="D185" t="s">
        <v>892</v>
      </c>
      <c r="E185" t="s">
        <v>893</v>
      </c>
    </row>
    <row r="186" spans="1:5">
      <c r="A186" t="s">
        <v>894</v>
      </c>
      <c r="B186" t="s">
        <v>895</v>
      </c>
      <c r="C186" t="s">
        <v>896</v>
      </c>
      <c r="D186" t="s">
        <v>896</v>
      </c>
      <c r="E186" t="s">
        <v>897</v>
      </c>
    </row>
    <row r="187" spans="1:5">
      <c r="A187" t="s">
        <v>898</v>
      </c>
      <c r="B187" t="s">
        <v>899</v>
      </c>
      <c r="C187" t="s">
        <v>900</v>
      </c>
      <c r="D187" t="s">
        <v>901</v>
      </c>
      <c r="E187" t="s">
        <v>899</v>
      </c>
    </row>
    <row r="188" spans="1:5">
      <c r="A188" t="s">
        <v>902</v>
      </c>
      <c r="B188" t="s">
        <v>903</v>
      </c>
      <c r="C188" t="s">
        <v>904</v>
      </c>
      <c r="D188" t="s">
        <v>904</v>
      </c>
      <c r="E188" t="s">
        <v>905</v>
      </c>
    </row>
    <row r="189" spans="1:5">
      <c r="A189" t="s">
        <v>906</v>
      </c>
      <c r="B189" t="s">
        <v>907</v>
      </c>
      <c r="C189" t="s">
        <v>907</v>
      </c>
      <c r="D189" t="s">
        <v>907</v>
      </c>
      <c r="E189" t="s">
        <v>908</v>
      </c>
    </row>
    <row r="190" spans="1:5">
      <c r="A190" t="s">
        <v>909</v>
      </c>
      <c r="B190" t="s">
        <v>6</v>
      </c>
      <c r="C190" t="s">
        <v>910</v>
      </c>
      <c r="D190" t="s">
        <v>910</v>
      </c>
      <c r="E190" t="s">
        <v>911</v>
      </c>
    </row>
    <row r="191" spans="1:5">
      <c r="A191" t="s">
        <v>912</v>
      </c>
      <c r="B191" t="s">
        <v>8</v>
      </c>
      <c r="C191" t="s">
        <v>913</v>
      </c>
      <c r="D191" t="s">
        <v>914</v>
      </c>
      <c r="E191" t="s">
        <v>915</v>
      </c>
    </row>
    <row r="192" spans="1:5">
      <c r="A192" t="s">
        <v>916</v>
      </c>
      <c r="B192" t="s">
        <v>71</v>
      </c>
      <c r="C192" t="s">
        <v>917</v>
      </c>
      <c r="D192" t="s">
        <v>917</v>
      </c>
      <c r="E192" t="s">
        <v>918</v>
      </c>
    </row>
    <row r="193" spans="1:5">
      <c r="A193" t="s">
        <v>919</v>
      </c>
      <c r="B193" t="s">
        <v>4</v>
      </c>
      <c r="C193" t="s">
        <v>920</v>
      </c>
      <c r="D193" t="s">
        <v>921</v>
      </c>
      <c r="E193" t="s">
        <v>4</v>
      </c>
    </row>
    <row r="194" spans="1:5">
      <c r="A194" t="s">
        <v>925</v>
      </c>
      <c r="B194" t="s">
        <v>926</v>
      </c>
      <c r="C194" t="s">
        <v>927</v>
      </c>
      <c r="D194" t="s">
        <v>928</v>
      </c>
      <c r="E194" t="s">
        <v>929</v>
      </c>
    </row>
    <row r="195" spans="1:5">
      <c r="A195" t="s">
        <v>930</v>
      </c>
      <c r="B195" t="s">
        <v>931</v>
      </c>
      <c r="C195" t="s">
        <v>932</v>
      </c>
      <c r="D195" t="s">
        <v>933</v>
      </c>
      <c r="E195" t="s">
        <v>934</v>
      </c>
    </row>
    <row r="196" spans="1:5">
      <c r="A196" t="s">
        <v>935</v>
      </c>
      <c r="B196" t="s">
        <v>936</v>
      </c>
      <c r="C196" t="s">
        <v>937</v>
      </c>
      <c r="D196" t="s">
        <v>938</v>
      </c>
      <c r="E196" t="s">
        <v>939</v>
      </c>
    </row>
    <row r="197" spans="1:5">
      <c r="A197" t="s">
        <v>940</v>
      </c>
      <c r="B197" t="s">
        <v>941</v>
      </c>
      <c r="C197" t="s">
        <v>186</v>
      </c>
      <c r="D197" t="s">
        <v>186</v>
      </c>
      <c r="E197" t="s">
        <v>187</v>
      </c>
    </row>
    <row r="198" spans="1:5">
      <c r="A198" t="s">
        <v>942</v>
      </c>
      <c r="B198" t="s">
        <v>16</v>
      </c>
      <c r="C198" t="s">
        <v>229</v>
      </c>
      <c r="D198" t="s">
        <v>230</v>
      </c>
      <c r="E198" t="s">
        <v>231</v>
      </c>
    </row>
    <row r="199" spans="1:5">
      <c r="A199" t="s">
        <v>943</v>
      </c>
      <c r="B199" t="s">
        <v>944</v>
      </c>
      <c r="C199" t="s">
        <v>945</v>
      </c>
      <c r="D199" t="s">
        <v>946</v>
      </c>
      <c r="E199" t="s">
        <v>947</v>
      </c>
    </row>
    <row r="200" spans="1:5">
      <c r="A200" t="s">
        <v>948</v>
      </c>
      <c r="B200" t="s">
        <v>949</v>
      </c>
      <c r="C200" t="s">
        <v>950</v>
      </c>
      <c r="D200" t="s">
        <v>951</v>
      </c>
      <c r="E200" t="s">
        <v>952</v>
      </c>
    </row>
    <row r="201" spans="1:5">
      <c r="A201" t="s">
        <v>953</v>
      </c>
      <c r="B201" t="s">
        <v>954</v>
      </c>
      <c r="C201" t="s">
        <v>955</v>
      </c>
      <c r="D201" t="s">
        <v>956</v>
      </c>
      <c r="E201" t="s">
        <v>957</v>
      </c>
    </row>
    <row r="202" spans="1:5">
      <c r="A202" t="s">
        <v>958</v>
      </c>
      <c r="B202" t="s">
        <v>959</v>
      </c>
      <c r="C202" t="s">
        <v>960</v>
      </c>
      <c r="D202" t="s">
        <v>961</v>
      </c>
      <c r="E202" t="s">
        <v>962</v>
      </c>
    </row>
    <row r="203" spans="1:5">
      <c r="A203" t="s">
        <v>963</v>
      </c>
      <c r="B203" t="s">
        <v>964</v>
      </c>
      <c r="C203" t="s">
        <v>965</v>
      </c>
      <c r="D203" t="s">
        <v>966</v>
      </c>
      <c r="E203" t="s">
        <v>967</v>
      </c>
    </row>
    <row r="204" spans="1:5">
      <c r="A204" t="s">
        <v>968</v>
      </c>
      <c r="B204" t="s">
        <v>969</v>
      </c>
      <c r="C204" t="s">
        <v>970</v>
      </c>
      <c r="D204" t="s">
        <v>971</v>
      </c>
      <c r="E204" t="s">
        <v>972</v>
      </c>
    </row>
    <row r="205" spans="1:5">
      <c r="A205" t="s">
        <v>973</v>
      </c>
      <c r="B205" t="s">
        <v>974</v>
      </c>
      <c r="C205" t="s">
        <v>975</v>
      </c>
      <c r="D205" t="s">
        <v>976</v>
      </c>
      <c r="E205" t="s">
        <v>977</v>
      </c>
    </row>
    <row r="206" spans="1:5">
      <c r="A206" t="s">
        <v>978</v>
      </c>
      <c r="B206" t="s">
        <v>979</v>
      </c>
      <c r="C206" t="s">
        <v>980</v>
      </c>
      <c r="D206" t="s">
        <v>981</v>
      </c>
      <c r="E206" t="s">
        <v>982</v>
      </c>
    </row>
    <row r="207" spans="1:5">
      <c r="A207" t="s">
        <v>983</v>
      </c>
      <c r="B207" t="s">
        <v>984</v>
      </c>
      <c r="C207" t="s">
        <v>985</v>
      </c>
      <c r="D207" t="s">
        <v>986</v>
      </c>
      <c r="E207" t="s">
        <v>987</v>
      </c>
    </row>
    <row r="208" spans="1:5">
      <c r="A208" t="s">
        <v>988</v>
      </c>
      <c r="B208" t="s">
        <v>989</v>
      </c>
      <c r="C208" t="s">
        <v>990</v>
      </c>
      <c r="D208" t="s">
        <v>991</v>
      </c>
      <c r="E208" t="s">
        <v>992</v>
      </c>
    </row>
    <row r="209" spans="1:5">
      <c r="A209" t="s">
        <v>993</v>
      </c>
      <c r="B209" t="s">
        <v>994</v>
      </c>
      <c r="C209" t="s">
        <v>995</v>
      </c>
      <c r="D209" t="s">
        <v>996</v>
      </c>
      <c r="E209" t="s">
        <v>997</v>
      </c>
    </row>
    <row r="210" spans="1:5">
      <c r="A210" t="s">
        <v>998</v>
      </c>
      <c r="B210" t="s">
        <v>999</v>
      </c>
      <c r="C210" t="s">
        <v>1000</v>
      </c>
      <c r="D210" t="s">
        <v>1001</v>
      </c>
      <c r="E210" t="s">
        <v>1002</v>
      </c>
    </row>
    <row r="211" spans="1:5">
      <c r="A211" t="s">
        <v>1003</v>
      </c>
      <c r="B211" t="s">
        <v>1004</v>
      </c>
      <c r="C211" t="s">
        <v>1004</v>
      </c>
      <c r="D211" t="s">
        <v>1004</v>
      </c>
      <c r="E211" t="s">
        <v>1004</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3857E6-EA66-435C-8DEE-BDCE44E49C54}">
  <sheetPr codeName="Sheet4"/>
  <dimension ref="E1:K30"/>
  <sheetViews>
    <sheetView workbookViewId="0"/>
  </sheetViews>
  <sheetFormatPr defaultRowHeight="13.2"/>
  <sheetData>
    <row r="1" spans="6:11">
      <c r="G1" t="s">
        <v>922</v>
      </c>
      <c r="H1">
        <f>IF(Home!$F$6="Metric",2*5/9,2)</f>
        <v>2</v>
      </c>
      <c r="I1" t="s">
        <v>1009</v>
      </c>
      <c r="J1">
        <f>'Pump Savings'!F21</f>
        <v>4</v>
      </c>
      <c r="K1">
        <f>MAX('Model_Pump Savings'!G23:G26)*0.746</f>
        <v>4.8883083062770565</v>
      </c>
    </row>
    <row r="2" spans="6:11">
      <c r="G2" t="s">
        <v>923</v>
      </c>
      <c r="H2">
        <f>IF(Home!$F$6="Metric",40*5/9,40)</f>
        <v>40</v>
      </c>
      <c r="J2">
        <f>'Pump Savings'!F29</f>
        <v>6</v>
      </c>
      <c r="K2">
        <f>MAX('Model_Pump Savings'!G31:G34)*0.746</f>
        <v>4.8883083062770565</v>
      </c>
    </row>
    <row r="3" spans="6:11">
      <c r="G3" t="s">
        <v>924</v>
      </c>
      <c r="H3">
        <f>IF(Home!$F$6="Metric",2*5/9,2)</f>
        <v>2</v>
      </c>
      <c r="J3">
        <f>'Pump Savings'!F37</f>
        <v>8</v>
      </c>
      <c r="K3">
        <f>MAX('Model_Pump Savings'!G39:G42)*0.746</f>
        <v>4.8883083062770565</v>
      </c>
    </row>
    <row r="4" spans="6:11">
      <c r="J4">
        <f>'Pump Savings'!F45</f>
        <v>10</v>
      </c>
      <c r="K4">
        <f>MAX('Model_Pump Savings'!G47:G50)*0.746</f>
        <v>4.3248623376623367</v>
      </c>
    </row>
    <row r="5" spans="6:11">
      <c r="J5">
        <f>'Pump Savings'!F53</f>
        <v>12</v>
      </c>
      <c r="K5">
        <f>MAX('Model_Pump Savings'!G55:G58)*0.746</f>
        <v>2.502813852813853</v>
      </c>
    </row>
    <row r="6" spans="6:11">
      <c r="J6">
        <f>'Pump Savings'!F61</f>
        <v>14</v>
      </c>
      <c r="K6">
        <f>MAX('Model_Pump Savings'!G63:G66)*0.746</f>
        <v>1.5761160122676159</v>
      </c>
    </row>
    <row r="11" spans="6:11">
      <c r="F11">
        <v>310</v>
      </c>
    </row>
    <row r="16" spans="6:11">
      <c r="F16">
        <v>30</v>
      </c>
    </row>
    <row r="18" spans="5:6">
      <c r="F18">
        <v>12</v>
      </c>
    </row>
    <row r="19" spans="5:6">
      <c r="F19">
        <v>6</v>
      </c>
    </row>
    <row r="20" spans="5:6">
      <c r="F20">
        <v>12</v>
      </c>
    </row>
    <row r="21" spans="5:6">
      <c r="F21">
        <v>14</v>
      </c>
    </row>
    <row r="30" spans="5:6">
      <c r="E30" t="s">
        <v>18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5</vt:i4>
      </vt:variant>
    </vt:vector>
  </HeadingPairs>
  <TitlesOfParts>
    <vt:vector size="10" baseType="lpstr">
      <vt:lpstr>Home</vt:lpstr>
      <vt:lpstr>Pump Savings</vt:lpstr>
      <vt:lpstr>Flow Curves</vt:lpstr>
      <vt:lpstr>Charts</vt:lpstr>
      <vt:lpstr>Results</vt:lpstr>
      <vt:lpstr>DT_GAP</vt:lpstr>
      <vt:lpstr>DT_MAX_BOUND</vt:lpstr>
      <vt:lpstr>DT_MIN_BOUND</vt:lpstr>
      <vt:lpstr>SelectedLanguage</vt:lpstr>
      <vt:lpstr>SelectedUnitSystem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Belimo Energy Valve Coil Estimator Tool</dc:title>
  <dc:creator>Smith, Rick</dc:creator>
  <cp:lastModifiedBy>Smith Rick</cp:lastModifiedBy>
  <cp:lastPrinted>2023-02-07T19:18:19Z</cp:lastPrinted>
  <dcterms:created xsi:type="dcterms:W3CDTF">2023-01-25T21:57:18Z</dcterms:created>
  <dcterms:modified xsi:type="dcterms:W3CDTF">2026-09-02T20:06:24Z</dcterms:modified>
</cp:coreProperties>
</file>